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8.xml" ContentType="application/vnd.openxmlformats-officedocument.spreadsheetml.table+xml"/>
  <Override PartName="/xl/drawings/drawing3.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166925"/>
  <mc:AlternateContent xmlns:mc="http://schemas.openxmlformats.org/markup-compatibility/2006">
    <mc:Choice Requires="x15">
      <x15ac:absPath xmlns:x15ac="http://schemas.microsoft.com/office/spreadsheetml/2010/11/ac" url="C:\Users\DELL\Desktop\data analyst project\"/>
    </mc:Choice>
  </mc:AlternateContent>
  <xr:revisionPtr revIDLastSave="0" documentId="8_{73BE9071-B486-4D8A-B0ED-5EAF093B18DF}" xr6:coauthVersionLast="47" xr6:coauthVersionMax="47" xr10:uidLastSave="{00000000-0000-0000-0000-000000000000}"/>
  <bookViews>
    <workbookView xWindow="-108" yWindow="-108" windowWidth="23256" windowHeight="12576" activeTab="1" xr2:uid="{1732F1D2-76FD-43C0-A6B4-22A8A18E13E9}"/>
  </bookViews>
  <sheets>
    <sheet name="Sheet1" sheetId="1" r:id="rId1"/>
    <sheet name="sales Dashboard" sheetId="8" r:id="rId2"/>
    <sheet name="template" sheetId="9" r:id="rId3"/>
    <sheet name="MIS_Day1.xlsx" sheetId="4" r:id="rId4"/>
    <sheet name="Dashboard" sheetId="2" r:id="rId5"/>
  </sheets>
  <definedNames>
    <definedName name="Slicer_City">#N/A</definedName>
    <definedName name="Slicer_City1">#N/A</definedName>
    <definedName name="Slicer_City2">#N/A</definedName>
    <definedName name="Slicer_Department">#N/A</definedName>
    <definedName name="Slicer_Department1">#N/A</definedName>
    <definedName name="Slicer_Department2">#N/A</definedName>
    <definedName name="Slicer_Product">#N/A</definedName>
    <definedName name="Slicer_Region">#N/A</definedName>
  </definedNames>
  <calcPr calcId="191029"/>
  <pivotCaches>
    <pivotCache cacheId="237" r:id="rId6"/>
    <pivotCache cacheId="241" r:id="rId7"/>
    <pivotCache cacheId="245" r:id="rId8"/>
    <pivotCache cacheId="249" r:id="rId9"/>
    <pivotCache cacheId="258" r:id="rId10"/>
    <pivotCache cacheId="267" r:id="rId11"/>
    <pivotCache cacheId="277" r:id="rId12"/>
    <pivotCache cacheId="289" r:id="rId13"/>
  </pivotCaches>
  <fileRecoveryPr repairLoad="1"/>
  <extLst>
    <ext xmlns:x14="http://schemas.microsoft.com/office/spreadsheetml/2009/9/main" uri="{BBE1A952-AA13-448e-AADC-164F8A28A991}">
      <x14:slicerCaches>
        <x14:slicerCache r:id="rId14"/>
        <x14:slicerCache r:id="rId15"/>
        <x14:slicerCache r:id="rId16"/>
        <x14:slicerCache r:id="rId17"/>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V3" i="8" l="1"/>
  <c r="Q7" i="8"/>
  <c r="L7" i="8"/>
  <c r="G7" i="8"/>
  <c r="G466" i="1"/>
  <c r="H466" i="1"/>
  <c r="B7" i="8"/>
  <c r="G7" i="2"/>
  <c r="V2" i="2"/>
  <c r="Q7" i="2"/>
  <c r="L7" i="2"/>
  <c r="B7" i="2"/>
  <c r="G419" i="1"/>
  <c r="G413" i="1"/>
  <c r="M379" i="1"/>
  <c r="M380" i="1"/>
  <c r="M381" i="1"/>
  <c r="M382" i="1"/>
  <c r="M383" i="1"/>
  <c r="M384" i="1"/>
  <c r="M385" i="1"/>
  <c r="M386" i="1"/>
  <c r="J379" i="1"/>
  <c r="K379" i="1" s="1"/>
  <c r="D396" i="1"/>
  <c r="D397" i="1"/>
  <c r="D395" i="1"/>
  <c r="J380" i="1"/>
  <c r="K380" i="1" s="1"/>
  <c r="J381" i="1"/>
  <c r="K381" i="1" s="1"/>
  <c r="J382" i="1"/>
  <c r="K382" i="1" s="1"/>
  <c r="J383" i="1"/>
  <c r="K383" i="1" s="1"/>
  <c r="J384" i="1"/>
  <c r="K384" i="1" s="1"/>
  <c r="J385" i="1"/>
  <c r="K385" i="1" s="1"/>
  <c r="J386" i="1"/>
  <c r="K386" i="1" s="1"/>
  <c r="E391" i="1"/>
  <c r="E390" i="1"/>
  <c r="I360" i="1"/>
  <c r="J360" i="1" s="1"/>
  <c r="E389" i="1"/>
  <c r="G375" i="1"/>
  <c r="D372" i="1"/>
  <c r="E372" i="1"/>
  <c r="F372" i="1"/>
  <c r="E367" i="1"/>
  <c r="E368" i="1"/>
  <c r="E366" i="1"/>
  <c r="D368" i="1"/>
  <c r="D367" i="1"/>
  <c r="D366" i="1"/>
  <c r="C368" i="1"/>
  <c r="C367" i="1"/>
  <c r="C366" i="1"/>
  <c r="I361" i="1"/>
  <c r="J361" i="1" s="1"/>
  <c r="I362" i="1"/>
  <c r="J362" i="1" s="1"/>
  <c r="I363" i="1"/>
  <c r="J363" i="1" s="1"/>
  <c r="I364" i="1"/>
  <c r="J364" i="1" s="1"/>
  <c r="I365" i="1"/>
  <c r="J365" i="1" s="1"/>
  <c r="E361" i="1"/>
  <c r="E362" i="1"/>
  <c r="E360" i="1"/>
  <c r="E354" i="1"/>
  <c r="E353" i="1"/>
  <c r="E352" i="1"/>
  <c r="J349" i="1"/>
  <c r="N345" i="1"/>
  <c r="N346" i="1"/>
  <c r="N344" i="1"/>
  <c r="M345" i="1"/>
  <c r="M346" i="1"/>
  <c r="M344" i="1"/>
  <c r="L345" i="1"/>
  <c r="L346" i="1"/>
  <c r="L344" i="1"/>
  <c r="K345" i="1"/>
  <c r="K346" i="1"/>
  <c r="K344" i="1"/>
  <c r="J346" i="1"/>
  <c r="J345" i="1"/>
  <c r="J344" i="1"/>
  <c r="G348" i="1"/>
  <c r="F348" i="1"/>
  <c r="E348" i="1"/>
  <c r="G346" i="1"/>
  <c r="G345" i="1"/>
  <c r="G344" i="1"/>
  <c r="F346" i="1"/>
  <c r="F345" i="1"/>
  <c r="F344" i="1"/>
  <c r="E346" i="1"/>
  <c r="E345" i="1"/>
  <c r="E344" i="1"/>
  <c r="M337" i="1"/>
  <c r="M338" i="1"/>
  <c r="M336" i="1"/>
  <c r="L337" i="1"/>
  <c r="L338" i="1"/>
  <c r="L336" i="1"/>
  <c r="K337" i="1"/>
  <c r="K338" i="1"/>
  <c r="K336" i="1"/>
  <c r="J337" i="1"/>
  <c r="J338" i="1"/>
  <c r="J336" i="1"/>
  <c r="F337" i="1"/>
  <c r="F338" i="1"/>
  <c r="F339" i="1"/>
  <c r="F336" i="1"/>
  <c r="E337" i="1"/>
  <c r="E338" i="1"/>
  <c r="E339" i="1"/>
  <c r="E336" i="1"/>
  <c r="D338" i="1"/>
  <c r="D337" i="1"/>
  <c r="D339" i="1"/>
  <c r="D336" i="1"/>
  <c r="C326" i="1"/>
  <c r="E325" i="1"/>
  <c r="D325" i="1"/>
  <c r="D326" i="1"/>
  <c r="C325" i="1"/>
  <c r="E314" i="1"/>
  <c r="E326" i="1"/>
  <c r="E327" i="1"/>
  <c r="E328" i="1"/>
  <c r="E329" i="1"/>
  <c r="E330" i="1"/>
  <c r="D327" i="1"/>
  <c r="D328" i="1"/>
  <c r="D329" i="1"/>
  <c r="D330" i="1"/>
  <c r="C324" i="1"/>
  <c r="X188" i="1"/>
  <c r="Y188" i="1" s="1"/>
  <c r="F205" i="1"/>
  <c r="J187" i="1"/>
  <c r="L199" i="1"/>
  <c r="F213" i="1"/>
  <c r="F202" i="1"/>
  <c r="E234" i="1"/>
  <c r="F231" i="1"/>
  <c r="F225" i="1"/>
  <c r="I94" i="1"/>
  <c r="J94" i="1"/>
  <c r="J221" i="1"/>
  <c r="F214" i="1"/>
  <c r="G212" i="1"/>
  <c r="X189" i="1"/>
  <c r="Y189" i="1" s="1"/>
  <c r="X190" i="1"/>
  <c r="Y190" i="1" s="1"/>
  <c r="X191" i="1"/>
  <c r="Y191" i="1" s="1"/>
  <c r="X192" i="1"/>
  <c r="Y192" i="1" s="1"/>
  <c r="T189" i="1"/>
  <c r="T190" i="1"/>
  <c r="T191" i="1"/>
  <c r="T192" i="1"/>
  <c r="T188" i="1"/>
  <c r="F203" i="1"/>
  <c r="F204" i="1"/>
  <c r="F206" i="1"/>
  <c r="N199" i="1"/>
  <c r="M199" i="1"/>
  <c r="F197" i="1"/>
  <c r="E197" i="1"/>
  <c r="D197" i="1"/>
  <c r="P187" i="1"/>
  <c r="L187" i="1"/>
  <c r="K187" i="1"/>
  <c r="D193" i="1"/>
  <c r="D192" i="1"/>
  <c r="C171" i="1"/>
  <c r="C172" i="1"/>
  <c r="R180" i="1"/>
  <c r="R179" i="1"/>
  <c r="R178" i="1"/>
  <c r="R177" i="1"/>
  <c r="K181" i="1"/>
  <c r="I182" i="1"/>
  <c r="F181" i="1"/>
  <c r="P173" i="1"/>
  <c r="Q168" i="1"/>
  <c r="Q161" i="1"/>
  <c r="Q162" i="1"/>
  <c r="Q163" i="1"/>
  <c r="Q164" i="1"/>
  <c r="Q160" i="1"/>
  <c r="K168" i="1"/>
  <c r="K171" i="1"/>
  <c r="K172" i="1"/>
  <c r="K169" i="1"/>
  <c r="K170" i="1"/>
  <c r="K159" i="1"/>
  <c r="K160" i="1"/>
  <c r="K161" i="1"/>
  <c r="E161" i="1"/>
  <c r="E162" i="1"/>
  <c r="E163" i="1"/>
  <c r="E164" i="1"/>
  <c r="E160" i="1"/>
  <c r="E154" i="1"/>
  <c r="E155" i="1"/>
  <c r="E153" i="1"/>
  <c r="C105" i="1"/>
  <c r="J96" i="1"/>
  <c r="K96" i="1"/>
  <c r="I96" i="1"/>
  <c r="K95" i="1"/>
  <c r="J95" i="1"/>
  <c r="K94" i="1"/>
  <c r="I95" i="1"/>
  <c r="C63" i="1"/>
  <c r="C75" i="1"/>
  <c r="C76" i="1"/>
  <c r="C74" i="1"/>
  <c r="D70" i="1"/>
  <c r="D69" i="1"/>
  <c r="D68" i="1"/>
  <c r="C62" i="1"/>
  <c r="E59" i="1"/>
  <c r="F56" i="1"/>
  <c r="E56" i="1"/>
  <c r="D56" i="1"/>
  <c r="C56" i="1"/>
  <c r="F55" i="1"/>
  <c r="E55" i="1"/>
  <c r="D55" i="1"/>
  <c r="C55" i="1"/>
  <c r="F54" i="1"/>
  <c r="E54" i="1"/>
  <c r="D54" i="1"/>
  <c r="C54" i="1"/>
  <c r="C48" i="1"/>
  <c r="C46" i="1"/>
  <c r="C45" i="1"/>
  <c r="C44" i="1"/>
  <c r="C43" i="1"/>
  <c r="D21" i="1"/>
  <c r="D22" i="1"/>
  <c r="D20" i="1"/>
  <c r="E28" i="1"/>
  <c r="E29" i="1"/>
  <c r="E30" i="1"/>
  <c r="E31" i="1"/>
  <c r="E27" i="1"/>
  <c r="I4" i="1"/>
  <c r="E38" i="1"/>
  <c r="E37" i="1"/>
  <c r="E36" i="1"/>
  <c r="E35" i="1"/>
  <c r="E34" i="1"/>
  <c r="I5" i="1"/>
  <c r="I6" i="1"/>
  <c r="I7" i="1"/>
  <c r="I8" i="1"/>
  <c r="G15" i="1"/>
  <c r="G14" i="1"/>
  <c r="G13" i="1"/>
  <c r="G12" i="1"/>
  <c r="G11" i="1"/>
  <c r="X195" i="1" l="1"/>
  <c r="X194" i="1"/>
</calcChain>
</file>

<file path=xl/sharedStrings.xml><?xml version="1.0" encoding="utf-8"?>
<sst xmlns="http://schemas.openxmlformats.org/spreadsheetml/2006/main" count="967" uniqueCount="249">
  <si>
    <t>Name</t>
  </si>
  <si>
    <t>Marks</t>
  </si>
  <si>
    <t>Aman</t>
  </si>
  <si>
    <t>Ravi</t>
  </si>
  <si>
    <t>Simran</t>
  </si>
  <si>
    <t>Karan</t>
  </si>
  <si>
    <t>Priya</t>
  </si>
  <si>
    <t>Total sum</t>
  </si>
  <si>
    <t>Average</t>
  </si>
  <si>
    <t>count</t>
  </si>
  <si>
    <t>max</t>
  </si>
  <si>
    <t>min</t>
  </si>
  <si>
    <t>Employee</t>
  </si>
  <si>
    <t>Sales</t>
  </si>
  <si>
    <t>A</t>
  </si>
  <si>
    <t>B</t>
  </si>
  <si>
    <t>C</t>
  </si>
  <si>
    <t>D</t>
  </si>
  <si>
    <t>E</t>
  </si>
  <si>
    <t>Total Sales</t>
  </si>
  <si>
    <t>Average Sales</t>
  </si>
  <si>
    <t>Highest Sales</t>
  </si>
  <si>
    <t>Lowest Sales</t>
  </si>
  <si>
    <t>Number of Employees</t>
  </si>
  <si>
    <t>SATATUS</t>
  </si>
  <si>
    <t>Target</t>
  </si>
  <si>
    <t xml:space="preserve">(&gt;=) meaning is rather A is equal or greater than B or  A is lower than B  </t>
  </si>
  <si>
    <t xml:space="preserve">Iferror purpose is to avoding Error in reports </t>
  </si>
  <si>
    <t>EMP12345</t>
  </si>
  <si>
    <t>left (b43,3)</t>
  </si>
  <si>
    <t>right?(b43,5)</t>
  </si>
  <si>
    <t>mid(b43,4,3)</t>
  </si>
  <si>
    <t>len(b43)</t>
  </si>
  <si>
    <t xml:space="preserve">           Tajinder    Singh</t>
  </si>
  <si>
    <t>trim(b48)</t>
  </si>
  <si>
    <t>Employee ID</t>
  </si>
  <si>
    <t>EMP67890</t>
  </si>
  <si>
    <t>EMP54321</t>
  </si>
  <si>
    <t>First Name</t>
  </si>
  <si>
    <t>Last Name</t>
  </si>
  <si>
    <t>Tajinder</t>
  </si>
  <si>
    <t>Singh</t>
  </si>
  <si>
    <t>Employee Name</t>
  </si>
  <si>
    <t>" Tajinder Singh "</t>
  </si>
  <si>
    <t>" Ravi Kumar "</t>
  </si>
  <si>
    <t>Kumar</t>
  </si>
  <si>
    <t>Sharma</t>
  </si>
  <si>
    <t xml:space="preserve">Full Name </t>
  </si>
  <si>
    <t>Dirty Name</t>
  </si>
  <si>
    <t>" Aman Sharma "</t>
  </si>
  <si>
    <t>clean name</t>
  </si>
  <si>
    <t>Department</t>
  </si>
  <si>
    <t>Salary</t>
  </si>
  <si>
    <t>E101</t>
  </si>
  <si>
    <t>E102</t>
  </si>
  <si>
    <t>HR</t>
  </si>
  <si>
    <t>E103</t>
  </si>
  <si>
    <t>IT</t>
  </si>
  <si>
    <t>E104</t>
  </si>
  <si>
    <t>Finance</t>
  </si>
  <si>
    <t>E105</t>
  </si>
  <si>
    <t>Search ID</t>
  </si>
  <si>
    <t>formula</t>
  </si>
  <si>
    <t>VLOOKUP(lookup_value,table_array,column_number,FALSE)</t>
  </si>
  <si>
    <t>department</t>
  </si>
  <si>
    <t>salary</t>
  </si>
  <si>
    <t>E999</t>
  </si>
  <si>
    <t>Row Labels</t>
  </si>
  <si>
    <t>Grand Total</t>
  </si>
  <si>
    <t>Sum of Sales</t>
  </si>
  <si>
    <t>Count of Employee</t>
  </si>
  <si>
    <t>Average of Sales</t>
  </si>
  <si>
    <t>Max of Sales</t>
  </si>
  <si>
    <t>City</t>
  </si>
  <si>
    <t>EMP001</t>
  </si>
  <si>
    <t>Amit</t>
  </si>
  <si>
    <t>Bengaluru</t>
  </si>
  <si>
    <t>EMP002</t>
  </si>
  <si>
    <t>Neha</t>
  </si>
  <si>
    <t>Delhi</t>
  </si>
  <si>
    <t>EMP003</t>
  </si>
  <si>
    <t>Rahul</t>
  </si>
  <si>
    <t>Pune</t>
  </si>
  <si>
    <t>EMP004</t>
  </si>
  <si>
    <t>Hyderabad</t>
  </si>
  <si>
    <t>EMP005</t>
  </si>
  <si>
    <t>Marketing</t>
  </si>
  <si>
    <t>Mumbai</t>
  </si>
  <si>
    <t>Column1</t>
  </si>
  <si>
    <t>Product</t>
  </si>
  <si>
    <t>Qty</t>
  </si>
  <si>
    <t>Price</t>
  </si>
  <si>
    <t>Laptop</t>
  </si>
  <si>
    <t>Mouse</t>
  </si>
  <si>
    <t>Keyboard</t>
  </si>
  <si>
    <t>Total</t>
  </si>
  <si>
    <t>Monitor</t>
  </si>
  <si>
    <t>Printer</t>
  </si>
  <si>
    <t>price with tax</t>
  </si>
  <si>
    <t xml:space="preserve">Price with tax </t>
  </si>
  <si>
    <t>Basic Salary</t>
  </si>
  <si>
    <t>bonus</t>
  </si>
  <si>
    <t>salary with bounus</t>
  </si>
  <si>
    <t>Month</t>
  </si>
  <si>
    <t>Jan</t>
  </si>
  <si>
    <t>Feb</t>
  </si>
  <si>
    <t>Mar</t>
  </si>
  <si>
    <t>Apr</t>
  </si>
  <si>
    <t>May</t>
  </si>
  <si>
    <t xml:space="preserve">total sum </t>
  </si>
  <si>
    <t>alt+=</t>
  </si>
  <si>
    <t>SUM(P168:P172)</t>
  </si>
  <si>
    <t>avg</t>
  </si>
  <si>
    <t>Student</t>
  </si>
  <si>
    <t>Total Marks</t>
  </si>
  <si>
    <t>AVERAGE</t>
  </si>
  <si>
    <t>Max</t>
  </si>
  <si>
    <t>Min</t>
  </si>
  <si>
    <t>Column2</t>
  </si>
  <si>
    <t>Value</t>
  </si>
  <si>
    <t>Apple</t>
  </si>
  <si>
    <t>Mango</t>
  </si>
  <si>
    <t>countA</t>
  </si>
  <si>
    <t>Joining Date</t>
  </si>
  <si>
    <t>counta</t>
  </si>
  <si>
    <t>Vivek</t>
  </si>
  <si>
    <t>no. of sales emp</t>
  </si>
  <si>
    <t>no. of IT emp</t>
  </si>
  <si>
    <t>no. of HR emp</t>
  </si>
  <si>
    <t>Total Laptop Sale</t>
  </si>
  <si>
    <t>Total Mouse Sale</t>
  </si>
  <si>
    <t>Total keyboard Sale</t>
  </si>
  <si>
    <t>Result</t>
  </si>
  <si>
    <t>Level</t>
  </si>
  <si>
    <t>Attendance %</t>
  </si>
  <si>
    <t>received</t>
  </si>
  <si>
    <t>Bangalore</t>
  </si>
  <si>
    <t>Chennai</t>
  </si>
  <si>
    <t>Experience</t>
  </si>
  <si>
    <t>Salesperson</t>
  </si>
  <si>
    <t>Electronics</t>
  </si>
  <si>
    <t>Clothing</t>
  </si>
  <si>
    <t>Sum of Salary</t>
  </si>
  <si>
    <t>Mohit</t>
  </si>
  <si>
    <t>rohit</t>
  </si>
  <si>
    <t>sales</t>
  </si>
  <si>
    <t>johit</t>
  </si>
  <si>
    <t>mohn</t>
  </si>
  <si>
    <t xml:space="preserve"> conditional formating</t>
  </si>
  <si>
    <t xml:space="preserve">Formula based conditional formatting </t>
  </si>
  <si>
    <t xml:space="preserve">Data validation </t>
  </si>
  <si>
    <t>Age</t>
  </si>
  <si>
    <t xml:space="preserve">Number validation </t>
  </si>
  <si>
    <t xml:space="preserve">Date validation </t>
  </si>
  <si>
    <t xml:space="preserve">custom formula </t>
  </si>
  <si>
    <t>Emp ID</t>
  </si>
  <si>
    <t>Attendance</t>
  </si>
  <si>
    <t xml:space="preserve">Test </t>
  </si>
  <si>
    <t>task 6</t>
  </si>
  <si>
    <t>Task 1</t>
  </si>
  <si>
    <t>Task 5</t>
  </si>
  <si>
    <t>Task 2</t>
  </si>
  <si>
    <t>Task 3</t>
  </si>
  <si>
    <t>Task 4</t>
  </si>
  <si>
    <t>Task 8</t>
  </si>
  <si>
    <t>Task 9</t>
  </si>
  <si>
    <t>Task 10</t>
  </si>
  <si>
    <t>101</t>
  </si>
  <si>
    <t>35000</t>
  </si>
  <si>
    <t>95</t>
  </si>
  <si>
    <t>12-Jan-24</t>
  </si>
  <si>
    <t>Sales2</t>
  </si>
  <si>
    <t>18</t>
  </si>
  <si>
    <t>08 January 2026</t>
  </si>
  <si>
    <t>Ctrl +T</t>
  </si>
  <si>
    <t>LEFT</t>
  </si>
  <si>
    <t>RIGHT</t>
  </si>
  <si>
    <t>LEN</t>
  </si>
  <si>
    <t>EMP101</t>
  </si>
  <si>
    <t>EMP102</t>
  </si>
  <si>
    <t>EMP103</t>
  </si>
  <si>
    <t>EMP104</t>
  </si>
  <si>
    <t>Original Text</t>
  </si>
  <si>
    <t>TRIM</t>
  </si>
  <si>
    <t>UPPER</t>
  </si>
  <si>
    <t>LOWER</t>
  </si>
  <si>
    <t>PROPER</t>
  </si>
  <si>
    <t>" amit kumar"</t>
  </si>
  <si>
    <t>"RAHUL SHARMA"</t>
  </si>
  <si>
    <t>"sIMRan kaUr"</t>
  </si>
  <si>
    <r>
      <t>&amp;</t>
    </r>
    <r>
      <rPr>
        <b/>
        <sz val="11"/>
        <color theme="1"/>
        <rFont val="Calibri"/>
        <family val="2"/>
        <scheme val="minor"/>
      </rPr>
      <t xml:space="preserve"> Result</t>
    </r>
  </si>
  <si>
    <t>CONCAT</t>
  </si>
  <si>
    <t>TEXTJOIN</t>
  </si>
  <si>
    <t>Kaur</t>
  </si>
  <si>
    <t>bangalore</t>
  </si>
  <si>
    <t>Date</t>
  </si>
  <si>
    <t>YEAR</t>
  </si>
  <si>
    <t>MONTH</t>
  </si>
  <si>
    <t>DAY</t>
  </si>
  <si>
    <t>TODAY</t>
  </si>
  <si>
    <t>NOW</t>
  </si>
  <si>
    <t>Experience (Years)</t>
  </si>
  <si>
    <t xml:space="preserve">promotion status </t>
  </si>
  <si>
    <t>Start Date</t>
  </si>
  <si>
    <t>Current Month End</t>
  </si>
  <si>
    <t>Next Month End</t>
  </si>
  <si>
    <t>Previous Month End</t>
  </si>
  <si>
    <t>Index +Match</t>
  </si>
  <si>
    <t>match</t>
  </si>
  <si>
    <t>Index</t>
  </si>
  <si>
    <t>Index+match</t>
  </si>
  <si>
    <t>Email</t>
  </si>
  <si>
    <t>AMIT@company.COM</t>
  </si>
  <si>
    <t>NEHA@Company.com</t>
  </si>
  <si>
    <t>rahul@COMPANY.com</t>
  </si>
  <si>
    <t>PRIYA@company.com</t>
  </si>
  <si>
    <t>karan@Company.com</t>
  </si>
  <si>
    <t>SIMRAN@company.COM</t>
  </si>
  <si>
    <t>MOHIT@company.COM</t>
  </si>
  <si>
    <t>Riya</t>
  </si>
  <si>
    <t>riya@Company.com</t>
  </si>
  <si>
    <t>task 4</t>
  </si>
  <si>
    <t>status</t>
  </si>
  <si>
    <t xml:space="preserve">Task 6  vlookup </t>
  </si>
  <si>
    <t xml:space="preserve">Task 6  xlookup </t>
  </si>
  <si>
    <t xml:space="preserve">   AMIT    KUMAR</t>
  </si>
  <si>
    <t>rahUl shARMa</t>
  </si>
  <si>
    <t>SIMRAN    kaUR</t>
  </si>
  <si>
    <t>Last date</t>
  </si>
  <si>
    <t xml:space="preserve">Employee Dashboard </t>
  </si>
  <si>
    <t xml:space="preserve">Total Salary </t>
  </si>
  <si>
    <t>Highest Salary</t>
  </si>
  <si>
    <t>Count of Emp ID</t>
  </si>
  <si>
    <t>Last  Updated</t>
  </si>
  <si>
    <t xml:space="preserve"> Total Employee</t>
  </si>
  <si>
    <t xml:space="preserve"> Average Salary</t>
  </si>
  <si>
    <t>Order ID</t>
  </si>
  <si>
    <t>Region</t>
  </si>
  <si>
    <t>Quantity</t>
  </si>
  <si>
    <t>North</t>
  </si>
  <si>
    <t>South</t>
  </si>
  <si>
    <t>East</t>
  </si>
  <si>
    <t>West</t>
  </si>
  <si>
    <t xml:space="preserve"> Sales Dashboard</t>
  </si>
  <si>
    <t>Total orders</t>
  </si>
  <si>
    <t>Highest sales</t>
  </si>
  <si>
    <t>Last Updated</t>
  </si>
  <si>
    <t>curency code</t>
  </si>
  <si>
    <t>[$₹-hi-IN]#,##0;[Red][$₹-hi-IN]#,##0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</si>
</sst>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4009]\ #,##0.00;[$₹-4009]\ \-#,##0.00"/>
    <numFmt numFmtId="171" formatCode="[$-14009]dd\-mm\-yyyy;@"/>
    <numFmt numFmtId="172" formatCode="[$-14009]dd\ mmmm\ yyyy;@"/>
    <numFmt numFmtId="175" formatCode="[$₹-439]#,##0"/>
    <numFmt numFmtId="179" formatCode="[$₹-439]#,##0;[Red][$₹-439]#,##0"/>
    <numFmt numFmtId="182" formatCode="[$₹-439]###,##0"/>
  </numFmts>
  <fonts count="18">
    <font>
      <sz val="11"/>
      <color theme="1"/>
      <name val="Calibri"/>
      <family val="2"/>
      <scheme val="minor"/>
    </font>
    <font>
      <b/>
      <sz val="11"/>
      <color theme="1"/>
      <name val="Calibri"/>
      <family val="2"/>
      <scheme val="minor"/>
    </font>
    <font>
      <i/>
      <sz val="11"/>
      <color theme="1"/>
      <name val="Calibri"/>
      <family val="2"/>
      <scheme val="minor"/>
    </font>
    <font>
      <sz val="11"/>
      <color theme="0"/>
      <name val="Calibri"/>
      <family val="2"/>
      <scheme val="minor"/>
    </font>
    <font>
      <u/>
      <sz val="11"/>
      <color theme="10"/>
      <name val="Calibri"/>
      <family val="2"/>
      <scheme val="minor"/>
    </font>
    <font>
      <sz val="11"/>
      <color rgb="FF000000"/>
      <name val="Calibri"/>
      <family val="2"/>
      <scheme val="minor"/>
    </font>
    <font>
      <b/>
      <sz val="11"/>
      <color rgb="FFFF0000"/>
      <name val="Calibri"/>
      <family val="2"/>
      <scheme val="minor"/>
    </font>
    <font>
      <sz val="10"/>
      <color theme="1"/>
      <name val="Arial Unicode MS"/>
    </font>
    <font>
      <b/>
      <sz val="10"/>
      <color theme="1"/>
      <name val="Arial Unicode MS"/>
    </font>
    <font>
      <b/>
      <sz val="10"/>
      <color theme="1"/>
      <name val="Arial"/>
      <family val="2"/>
    </font>
    <font>
      <sz val="10"/>
      <color theme="1"/>
      <name val="Arial"/>
      <family val="2"/>
    </font>
    <font>
      <sz val="12"/>
      <color theme="1"/>
      <name val="Calibri"/>
      <family val="2"/>
      <scheme val="minor"/>
    </font>
    <font>
      <sz val="14"/>
      <color theme="1"/>
      <name val="Calibri"/>
      <family val="2"/>
      <scheme val="minor"/>
    </font>
    <font>
      <sz val="24"/>
      <color theme="0"/>
      <name val="Calibri"/>
      <family val="2"/>
      <scheme val="minor"/>
    </font>
    <font>
      <sz val="16"/>
      <color theme="1"/>
      <name val="Calibri"/>
      <family val="2"/>
      <scheme val="minor"/>
    </font>
    <font>
      <b/>
      <sz val="28"/>
      <color theme="0"/>
      <name val="Calibri"/>
      <family val="2"/>
      <scheme val="minor"/>
    </font>
    <font>
      <b/>
      <sz val="20"/>
      <color theme="0"/>
      <name val="Calibri"/>
      <family val="2"/>
      <scheme val="minor"/>
    </font>
    <font>
      <sz val="30"/>
      <color theme="0"/>
      <name val="Calibri"/>
      <family val="2"/>
      <scheme val="minor"/>
    </font>
  </fonts>
  <fills count="8">
    <fill>
      <patternFill patternType="none"/>
    </fill>
    <fill>
      <patternFill patternType="gray125"/>
    </fill>
    <fill>
      <patternFill patternType="solid">
        <fgColor theme="4" tint="0.79998168889431442"/>
        <bgColor theme="4" tint="0.79998168889431442"/>
      </patternFill>
    </fill>
    <fill>
      <patternFill patternType="solid">
        <fgColor rgb="FFFFFF00"/>
        <bgColor indexed="64"/>
      </patternFill>
    </fill>
    <fill>
      <patternFill patternType="solid">
        <fgColor theme="4" tint="0.59999389629810485"/>
        <bgColor indexed="64"/>
      </patternFill>
    </fill>
    <fill>
      <patternFill patternType="solid">
        <fgColor theme="0"/>
        <bgColor indexed="64"/>
      </patternFill>
    </fill>
    <fill>
      <patternFill patternType="solid">
        <fgColor theme="3" tint="0.79998168889431442"/>
        <bgColor indexed="64"/>
      </patternFill>
    </fill>
    <fill>
      <patternFill patternType="solid">
        <fgColor theme="4" tint="0.39997558519241921"/>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medium">
        <color theme="2" tint="-0.499984740745262"/>
      </left>
      <right style="medium">
        <color theme="2" tint="-0.499984740745262"/>
      </right>
      <top style="medium">
        <color theme="2" tint="-0.499984740745262"/>
      </top>
      <bottom style="medium">
        <color theme="2" tint="-0.499984740745262"/>
      </bottom>
      <diagonal/>
    </border>
    <border>
      <left style="medium">
        <color theme="2" tint="-0.499984740745262"/>
      </left>
      <right style="medium">
        <color theme="2" tint="-0.499984740745262"/>
      </right>
      <top/>
      <bottom style="medium">
        <color theme="2" tint="-0.499984740745262"/>
      </bottom>
      <diagonal/>
    </border>
    <border>
      <left/>
      <right style="medium">
        <color theme="2" tint="-0.499984740745262"/>
      </right>
      <top style="medium">
        <color theme="2" tint="-0.499984740745262"/>
      </top>
      <bottom style="medium">
        <color theme="2" tint="-0.499984740745262"/>
      </bottom>
      <diagonal/>
    </border>
    <border>
      <left style="medium">
        <color theme="2" tint="-0.499984740745262"/>
      </left>
      <right/>
      <top style="medium">
        <color theme="2" tint="-0.499984740745262"/>
      </top>
      <bottom style="medium">
        <color theme="2" tint="-0.499984740745262"/>
      </bottom>
      <diagonal/>
    </border>
    <border>
      <left/>
      <right style="medium">
        <color theme="2" tint="-0.499984740745262"/>
      </right>
      <top/>
      <bottom style="medium">
        <color theme="2" tint="-0.499984740745262"/>
      </bottom>
      <diagonal/>
    </border>
    <border>
      <left style="medium">
        <color theme="2" tint="-0.499984740745262"/>
      </left>
      <right/>
      <top/>
      <bottom style="medium">
        <color theme="2" tint="-0.499984740745262"/>
      </bottom>
      <diagonal/>
    </border>
    <border>
      <left/>
      <right style="medium">
        <color theme="2" tint="-0.499984740745262"/>
      </right>
      <top style="medium">
        <color theme="2" tint="-0.499984740745262"/>
      </top>
      <bottom/>
      <diagonal/>
    </border>
    <border>
      <left style="medium">
        <color theme="2" tint="-0.499984740745262"/>
      </left>
      <right style="medium">
        <color theme="2" tint="-0.499984740745262"/>
      </right>
      <top style="medium">
        <color theme="2" tint="-0.499984740745262"/>
      </top>
      <bottom/>
      <diagonal/>
    </border>
    <border>
      <left style="medium">
        <color theme="2" tint="-0.499984740745262"/>
      </left>
      <right/>
      <top style="medium">
        <color theme="2" tint="-0.499984740745262"/>
      </top>
      <bottom/>
      <diagonal/>
    </border>
    <border>
      <left/>
      <right/>
      <top/>
      <bottom style="medium">
        <color theme="2" tint="-0.499984740745262"/>
      </bottom>
      <diagonal/>
    </border>
    <border>
      <left/>
      <right style="medium">
        <color theme="2" tint="-0.499984740745262"/>
      </right>
      <top style="thin">
        <color theme="4" tint="0.39997558519241921"/>
      </top>
      <bottom style="thin">
        <color theme="4" tint="0.39997558519241921"/>
      </bottom>
      <diagonal/>
    </border>
    <border>
      <left style="medium">
        <color rgb="FFCCCCCC"/>
      </left>
      <right style="medium">
        <color rgb="FFCCCCCC"/>
      </right>
      <top style="medium">
        <color rgb="FFCCCCCC"/>
      </top>
      <bottom style="medium">
        <color rgb="FFCCCCCC"/>
      </bottom>
      <diagonal/>
    </border>
    <border>
      <left/>
      <right/>
      <top style="thin">
        <color theme="2" tint="-0.249977111117893"/>
      </top>
      <bottom/>
      <diagonal/>
    </border>
    <border>
      <left style="thin">
        <color theme="2" tint="-0.249977111117893"/>
      </left>
      <right/>
      <top style="thin">
        <color theme="2" tint="-0.249977111117893"/>
      </top>
      <bottom/>
      <diagonal/>
    </border>
    <border>
      <left/>
      <right style="thin">
        <color theme="2" tint="-0.249977111117893"/>
      </right>
      <top style="thin">
        <color theme="2" tint="-0.249977111117893"/>
      </top>
      <bottom/>
      <diagonal/>
    </border>
    <border>
      <left style="thin">
        <color theme="2" tint="-0.249977111117893"/>
      </left>
      <right/>
      <top/>
      <bottom style="thin">
        <color theme="2" tint="-0.249977111117893"/>
      </bottom>
      <diagonal/>
    </border>
    <border>
      <left/>
      <right/>
      <top/>
      <bottom style="thin">
        <color theme="2" tint="-0.249977111117893"/>
      </bottom>
      <diagonal/>
    </border>
    <border>
      <left/>
      <right style="thin">
        <color theme="2" tint="-0.249977111117893"/>
      </right>
      <top/>
      <bottom style="thin">
        <color theme="2" tint="-0.249977111117893"/>
      </bottom>
      <diagonal/>
    </border>
    <border>
      <left style="thin">
        <color theme="2" tint="-0.249977111117893"/>
      </left>
      <right/>
      <top/>
      <bottom/>
      <diagonal/>
    </border>
    <border>
      <left/>
      <right style="thin">
        <color theme="2" tint="-0.249977111117893"/>
      </right>
      <top/>
      <bottom/>
      <diagonal/>
    </border>
  </borders>
  <cellStyleXfs count="2">
    <xf numFmtId="0" fontId="0" fillId="0" borderId="0"/>
    <xf numFmtId="0" fontId="4" fillId="0" borderId="0" applyNumberFormat="0" applyFill="0" applyBorder="0" applyAlignment="0" applyProtection="0"/>
  </cellStyleXfs>
  <cellXfs count="124">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xf numFmtId="0" fontId="0" fillId="0" borderId="0" xfId="0" applyAlignment="1">
      <alignment horizontal="left" vertical="center" indent="1"/>
    </xf>
    <xf numFmtId="0" fontId="0" fillId="0" borderId="0" xfId="0" applyAlignment="1">
      <alignment vertical="top"/>
    </xf>
    <xf numFmtId="0" fontId="0" fillId="0" borderId="0" xfId="0" pivotButton="1"/>
    <xf numFmtId="0" fontId="0" fillId="0" borderId="0" xfId="0" applyAlignment="1">
      <alignment horizontal="left"/>
    </xf>
    <xf numFmtId="0" fontId="0" fillId="0" borderId="0" xfId="0" applyAlignment="1">
      <alignment horizontal="right" vertical="center" wrapText="1"/>
    </xf>
    <xf numFmtId="0" fontId="1" fillId="0" borderId="0" xfId="0" applyFont="1" applyAlignment="1">
      <alignment horizontal="right" vertical="center" wrapText="1"/>
    </xf>
    <xf numFmtId="164" fontId="0" fillId="0" borderId="0" xfId="0" applyNumberFormat="1" applyAlignment="1">
      <alignment horizontal="right" vertical="center" wrapText="1"/>
    </xf>
    <xf numFmtId="0" fontId="1" fillId="0" borderId="0" xfId="0" applyFont="1" applyAlignment="1">
      <alignment horizontal="left" wrapText="1" indent="5"/>
    </xf>
    <xf numFmtId="9" fontId="0" fillId="0" borderId="0" xfId="0" applyNumberFormat="1"/>
    <xf numFmtId="0" fontId="1" fillId="0" borderId="0" xfId="0" applyFont="1" applyAlignment="1">
      <alignment vertical="center" wrapText="1"/>
    </xf>
    <xf numFmtId="0" fontId="2" fillId="0" borderId="0" xfId="0" applyFont="1" applyAlignment="1">
      <alignment vertical="center" wrapText="1"/>
    </xf>
    <xf numFmtId="15" fontId="0" fillId="0" borderId="0" xfId="0" applyNumberFormat="1" applyAlignment="1">
      <alignment vertical="center" wrapText="1"/>
    </xf>
    <xf numFmtId="0" fontId="1" fillId="0" borderId="0" xfId="0" applyFont="1" applyAlignment="1">
      <alignment vertical="top"/>
    </xf>
    <xf numFmtId="0" fontId="1" fillId="0" borderId="0" xfId="0" applyFont="1" applyAlignment="1">
      <alignment horizontal="left" vertical="top" wrapText="1" indent="1"/>
    </xf>
    <xf numFmtId="0" fontId="0" fillId="0" borderId="0" xfId="0" applyAlignment="1">
      <alignment horizontal="left" vertical="top" wrapText="1" indent="1"/>
    </xf>
    <xf numFmtId="0" fontId="0" fillId="0" borderId="0" xfId="0" applyNumberFormat="1"/>
    <xf numFmtId="0" fontId="5" fillId="0" borderId="0" xfId="0" applyFont="1" applyAlignment="1">
      <alignment vertical="center" wrapText="1"/>
    </xf>
    <xf numFmtId="0" fontId="5" fillId="0" borderId="0" xfId="0" applyFont="1" applyAlignment="1">
      <alignment horizontal="right" vertical="center" wrapText="1"/>
    </xf>
    <xf numFmtId="0" fontId="6" fillId="3" borderId="0" xfId="0" applyFont="1" applyFill="1"/>
    <xf numFmtId="0" fontId="1" fillId="0" borderId="1" xfId="0" applyFont="1" applyBorder="1" applyAlignment="1">
      <alignment horizontal="center" wrapText="1"/>
    </xf>
    <xf numFmtId="0" fontId="1" fillId="0" borderId="1" xfId="0" applyFont="1" applyBorder="1" applyAlignment="1">
      <alignment horizontal="right" wrapText="1"/>
    </xf>
    <xf numFmtId="0" fontId="0" fillId="0" borderId="1" xfId="0" applyBorder="1" applyAlignment="1">
      <alignment wrapText="1"/>
    </xf>
    <xf numFmtId="0" fontId="0" fillId="0" borderId="1" xfId="0" applyBorder="1" applyAlignment="1">
      <alignment horizontal="right" wrapText="1"/>
    </xf>
    <xf numFmtId="0" fontId="0" fillId="0" borderId="2" xfId="0" applyBorder="1"/>
    <xf numFmtId="0" fontId="1" fillId="0" borderId="2" xfId="0" applyFont="1" applyBorder="1" applyAlignment="1">
      <alignment horizontal="center" vertical="center" wrapText="1"/>
    </xf>
    <xf numFmtId="0" fontId="0" fillId="0" borderId="3" xfId="0" applyBorder="1"/>
    <xf numFmtId="0" fontId="0" fillId="0" borderId="2" xfId="0" applyBorder="1" applyAlignment="1">
      <alignment vertical="center" wrapText="1"/>
    </xf>
    <xf numFmtId="0" fontId="1" fillId="0" borderId="2" xfId="0" applyFont="1" applyBorder="1" applyAlignment="1">
      <alignment horizontal="right" vertical="center" wrapText="1"/>
    </xf>
    <xf numFmtId="0" fontId="0" fillId="0" borderId="2" xfId="0" applyBorder="1" applyAlignment="1">
      <alignment horizontal="right" vertical="center" wrapText="1"/>
    </xf>
    <xf numFmtId="0" fontId="1" fillId="0" borderId="2" xfId="0" applyFont="1" applyBorder="1" applyAlignment="1">
      <alignment horizontal="left" vertical="top" indent="5"/>
    </xf>
    <xf numFmtId="0" fontId="1" fillId="0" borderId="2" xfId="0" applyFont="1" applyBorder="1" applyAlignment="1">
      <alignment horizontal="left" indent="10"/>
    </xf>
    <xf numFmtId="0" fontId="5" fillId="0" borderId="2" xfId="0" applyFont="1" applyBorder="1" applyAlignment="1">
      <alignment horizontal="right" vertical="center" wrapText="1"/>
    </xf>
    <xf numFmtId="14" fontId="0" fillId="0" borderId="0" xfId="0" applyNumberFormat="1" applyAlignment="1">
      <alignment vertical="center" wrapText="1"/>
    </xf>
    <xf numFmtId="171" fontId="0" fillId="0" borderId="0" xfId="0" applyNumberFormat="1" applyAlignment="1">
      <alignment vertical="center" wrapText="1"/>
    </xf>
    <xf numFmtId="0" fontId="0" fillId="0" borderId="0" xfId="0" applyAlignment="1">
      <alignment horizontal="right" indent="1"/>
    </xf>
    <xf numFmtId="0" fontId="0" fillId="0" borderId="0" xfId="0" applyAlignment="1">
      <alignment horizontal="right"/>
    </xf>
    <xf numFmtId="0" fontId="0" fillId="0" borderId="0" xfId="0" applyAlignment="1">
      <alignment wrapText="1"/>
    </xf>
    <xf numFmtId="0" fontId="1" fillId="0" borderId="2" xfId="0" applyFont="1" applyBorder="1"/>
    <xf numFmtId="15" fontId="0" fillId="0" borderId="2" xfId="0" applyNumberFormat="1" applyBorder="1" applyAlignment="1">
      <alignment vertical="center" wrapText="1"/>
    </xf>
    <xf numFmtId="0" fontId="1" fillId="0" borderId="2" xfId="0" applyFont="1" applyBorder="1" applyAlignment="1">
      <alignment horizontal="right"/>
    </xf>
    <xf numFmtId="0" fontId="0" fillId="0" borderId="4" xfId="0" applyBorder="1" applyAlignment="1">
      <alignment horizontal="right" vertical="center" wrapText="1"/>
    </xf>
    <xf numFmtId="172" fontId="0" fillId="0" borderId="5" xfId="0" applyNumberFormat="1" applyBorder="1"/>
    <xf numFmtId="0" fontId="0" fillId="0" borderId="6" xfId="0" applyBorder="1" applyAlignment="1">
      <alignment horizontal="right" vertical="center" wrapText="1"/>
    </xf>
    <xf numFmtId="0" fontId="0" fillId="0" borderId="3" xfId="0" applyBorder="1" applyAlignment="1">
      <alignment vertical="center" wrapText="1"/>
    </xf>
    <xf numFmtId="0" fontId="0" fillId="0" borderId="3" xfId="0" applyBorder="1" applyAlignment="1">
      <alignment horizontal="right" vertical="center" wrapText="1"/>
    </xf>
    <xf numFmtId="15" fontId="0" fillId="0" borderId="3" xfId="0" applyNumberFormat="1" applyBorder="1" applyAlignment="1">
      <alignment vertical="center" wrapText="1"/>
    </xf>
    <xf numFmtId="172" fontId="0" fillId="0" borderId="7" xfId="0" applyNumberFormat="1" applyBorder="1"/>
    <xf numFmtId="0" fontId="0" fillId="0" borderId="8" xfId="0" applyBorder="1" applyAlignment="1">
      <alignment horizontal="right" vertical="center" wrapText="1"/>
    </xf>
    <xf numFmtId="0" fontId="0" fillId="0" borderId="9" xfId="0" applyBorder="1" applyAlignment="1">
      <alignment vertical="center" wrapText="1"/>
    </xf>
    <xf numFmtId="0" fontId="0" fillId="0" borderId="9" xfId="0" applyBorder="1" applyAlignment="1">
      <alignment horizontal="right" vertical="center" wrapText="1"/>
    </xf>
    <xf numFmtId="15" fontId="0" fillId="0" borderId="9" xfId="0" applyNumberFormat="1" applyBorder="1" applyAlignment="1">
      <alignment vertical="center" wrapText="1"/>
    </xf>
    <xf numFmtId="0" fontId="0" fillId="0" borderId="9" xfId="0" applyBorder="1"/>
    <xf numFmtId="172" fontId="0" fillId="0" borderId="10" xfId="0" applyNumberFormat="1" applyBorder="1"/>
    <xf numFmtId="0" fontId="0" fillId="0" borderId="10" xfId="0" applyBorder="1"/>
    <xf numFmtId="0" fontId="0" fillId="0" borderId="2" xfId="0" pivotButton="1" applyBorder="1"/>
    <xf numFmtId="0" fontId="0" fillId="0" borderId="2" xfId="0" applyBorder="1" applyAlignment="1">
      <alignment horizontal="left"/>
    </xf>
    <xf numFmtId="0" fontId="0" fillId="0" borderId="2" xfId="0" applyNumberFormat="1" applyBorder="1"/>
    <xf numFmtId="0" fontId="1" fillId="0" borderId="6" xfId="0" applyFont="1" applyBorder="1" applyAlignment="1">
      <alignment horizontal="right" vertical="center" wrapText="1"/>
    </xf>
    <xf numFmtId="0" fontId="1" fillId="0" borderId="3" xfId="0" applyFont="1" applyBorder="1" applyAlignment="1">
      <alignment horizontal="right" vertical="center" wrapText="1"/>
    </xf>
    <xf numFmtId="0" fontId="0" fillId="0" borderId="0" xfId="0" applyAlignment="1">
      <alignment horizontal="left" vertical="center" wrapText="1"/>
    </xf>
    <xf numFmtId="0" fontId="7" fillId="0" borderId="2" xfId="0" applyFont="1" applyBorder="1" applyAlignment="1">
      <alignment vertical="center" wrapText="1"/>
    </xf>
    <xf numFmtId="0" fontId="8" fillId="0" borderId="0" xfId="0" applyFont="1" applyAlignment="1">
      <alignment horizontal="center" vertical="center" wrapText="1"/>
    </xf>
    <xf numFmtId="0" fontId="1" fillId="0" borderId="0" xfId="0" applyFont="1" applyAlignment="1">
      <alignment horizontal="center" vertical="center"/>
    </xf>
    <xf numFmtId="14" fontId="0" fillId="0" borderId="0" xfId="0" applyNumberFormat="1"/>
    <xf numFmtId="22" fontId="0" fillId="0" borderId="0" xfId="0" applyNumberFormat="1"/>
    <xf numFmtId="0" fontId="0" fillId="0" borderId="2" xfId="0" applyBorder="1" applyAlignment="1">
      <alignment horizontal="center" vertical="center"/>
    </xf>
    <xf numFmtId="172" fontId="0" fillId="0" borderId="0" xfId="0" applyNumberFormat="1" applyAlignment="1">
      <alignment vertical="center" wrapText="1"/>
    </xf>
    <xf numFmtId="172" fontId="0" fillId="0" borderId="0" xfId="0" applyNumberFormat="1"/>
    <xf numFmtId="0" fontId="0" fillId="0" borderId="2" xfId="0" applyBorder="1" applyAlignment="1">
      <alignment horizontal="right" vertical="top" wrapText="1"/>
    </xf>
    <xf numFmtId="15" fontId="0" fillId="0" borderId="2" xfId="0" applyNumberFormat="1" applyBorder="1" applyAlignment="1">
      <alignment horizontal="right" vertical="top" wrapText="1"/>
    </xf>
    <xf numFmtId="0" fontId="0" fillId="0" borderId="2" xfId="0" applyBorder="1" applyAlignment="1">
      <alignment horizontal="left" vertical="top" wrapText="1"/>
    </xf>
    <xf numFmtId="0" fontId="0" fillId="0" borderId="4" xfId="0" applyBorder="1" applyAlignment="1">
      <alignment horizontal="right" vertical="top" wrapText="1"/>
    </xf>
    <xf numFmtId="0" fontId="0" fillId="0" borderId="5" xfId="0" applyBorder="1"/>
    <xf numFmtId="0" fontId="1" fillId="0" borderId="3" xfId="0" applyFont="1" applyBorder="1" applyAlignment="1">
      <alignment horizontal="center" vertical="center" wrapText="1"/>
    </xf>
    <xf numFmtId="0" fontId="1" fillId="0" borderId="3" xfId="0" applyFont="1" applyBorder="1" applyAlignment="1">
      <alignment horizontal="center"/>
    </xf>
    <xf numFmtId="0" fontId="1" fillId="0" borderId="7" xfId="0" applyFont="1" applyBorder="1" applyAlignment="1">
      <alignment horizontal="center"/>
    </xf>
    <xf numFmtId="0" fontId="4" fillId="0" borderId="2" xfId="1" applyBorder="1" applyAlignment="1">
      <alignment horizontal="center" vertical="center" wrapText="1"/>
    </xf>
    <xf numFmtId="0" fontId="4" fillId="0" borderId="9" xfId="1" applyBorder="1" applyAlignment="1">
      <alignment horizontal="center" vertical="center" wrapText="1"/>
    </xf>
    <xf numFmtId="0" fontId="1" fillId="0" borderId="11" xfId="0" applyFont="1" applyBorder="1"/>
    <xf numFmtId="0" fontId="0" fillId="2" borderId="12" xfId="0" applyFont="1" applyFill="1" applyBorder="1"/>
    <xf numFmtId="0" fontId="9" fillId="0" borderId="13" xfId="0" applyFont="1" applyBorder="1" applyAlignment="1">
      <alignment horizontal="center" wrapText="1"/>
    </xf>
    <xf numFmtId="0" fontId="10" fillId="0" borderId="13" xfId="0" applyFont="1" applyBorder="1" applyAlignment="1">
      <alignment horizontal="right" wrapText="1"/>
    </xf>
    <xf numFmtId="0" fontId="10" fillId="0" borderId="13" xfId="0" applyFont="1" applyBorder="1" applyAlignment="1">
      <alignment wrapText="1"/>
    </xf>
    <xf numFmtId="0" fontId="0" fillId="0" borderId="0" xfId="0" applyAlignment="1">
      <alignment horizontal="center"/>
    </xf>
    <xf numFmtId="0" fontId="0" fillId="0" borderId="0" xfId="0" applyAlignment="1">
      <alignment horizontal="center" vertical="center"/>
    </xf>
    <xf numFmtId="0" fontId="0" fillId="0" borderId="0" xfId="0" applyAlignment="1">
      <alignment horizontal="center" vertical="center"/>
    </xf>
    <xf numFmtId="0" fontId="14" fillId="0" borderId="0" xfId="0" applyFont="1"/>
    <xf numFmtId="0" fontId="15" fillId="4" borderId="0" xfId="0" applyFont="1" applyFill="1" applyBorder="1" applyAlignment="1">
      <alignment horizontal="center" vertical="center"/>
    </xf>
    <xf numFmtId="175" fontId="15" fillId="4" borderId="0" xfId="0" applyNumberFormat="1" applyFont="1" applyFill="1" applyBorder="1" applyAlignment="1">
      <alignment horizontal="center" vertical="center"/>
    </xf>
    <xf numFmtId="175" fontId="15" fillId="4" borderId="0" xfId="0" applyNumberFormat="1" applyFont="1" applyFill="1" applyBorder="1" applyAlignment="1">
      <alignment horizontal="center"/>
    </xf>
    <xf numFmtId="0" fontId="16" fillId="4" borderId="0" xfId="0" applyFont="1" applyFill="1" applyBorder="1" applyAlignment="1">
      <alignment horizontal="center" vertical="center"/>
    </xf>
    <xf numFmtId="0" fontId="0" fillId="0" borderId="0" xfId="0" applyBorder="1" applyAlignment="1">
      <alignment horizontal="center"/>
    </xf>
    <xf numFmtId="182" fontId="15" fillId="4" borderId="0" xfId="0" applyNumberFormat="1" applyFont="1" applyFill="1" applyBorder="1" applyAlignment="1">
      <alignment horizontal="center" vertical="center"/>
    </xf>
    <xf numFmtId="0" fontId="0" fillId="6" borderId="0" xfId="0" applyFill="1" applyAlignment="1">
      <alignment vertical="center"/>
    </xf>
    <xf numFmtId="0" fontId="3" fillId="5" borderId="0" xfId="0" applyFont="1" applyFill="1" applyAlignment="1">
      <alignment vertical="center"/>
    </xf>
    <xf numFmtId="172" fontId="0" fillId="6" borderId="0" xfId="0" applyNumberFormat="1" applyFill="1" applyAlignment="1">
      <alignment horizontal="center" vertical="center"/>
    </xf>
    <xf numFmtId="0" fontId="0" fillId="5" borderId="0" xfId="0" applyFill="1" applyAlignment="1">
      <alignment vertical="center"/>
    </xf>
    <xf numFmtId="172" fontId="0" fillId="5" borderId="0" xfId="0" applyNumberFormat="1" applyFill="1" applyAlignment="1">
      <alignment vertical="center"/>
    </xf>
    <xf numFmtId="0" fontId="15" fillId="4" borderId="0" xfId="0" applyFont="1" applyFill="1" applyAlignment="1">
      <alignment horizontal="center" vertical="center"/>
    </xf>
    <xf numFmtId="0" fontId="12" fillId="7" borderId="0" xfId="0" applyFont="1" applyFill="1" applyAlignment="1">
      <alignment horizontal="center" vertical="center"/>
    </xf>
    <xf numFmtId="0" fontId="13" fillId="4" borderId="0" xfId="0" applyFont="1" applyFill="1" applyBorder="1" applyAlignment="1">
      <alignment horizontal="center" vertical="center"/>
    </xf>
    <xf numFmtId="0" fontId="17" fillId="4" borderId="0" xfId="0" applyFont="1" applyFill="1" applyBorder="1" applyAlignment="1">
      <alignment horizontal="center" vertical="center"/>
    </xf>
    <xf numFmtId="0" fontId="13" fillId="4" borderId="14" xfId="0" applyFont="1" applyFill="1" applyBorder="1" applyAlignment="1">
      <alignment horizontal="center" vertical="center"/>
    </xf>
    <xf numFmtId="0" fontId="13" fillId="4" borderId="15" xfId="0" applyFont="1" applyFill="1" applyBorder="1" applyAlignment="1">
      <alignment horizontal="center" vertical="center"/>
    </xf>
    <xf numFmtId="0" fontId="13" fillId="4" borderId="16" xfId="0" applyFont="1" applyFill="1" applyBorder="1" applyAlignment="1">
      <alignment horizontal="center" vertical="center"/>
    </xf>
    <xf numFmtId="179" fontId="17" fillId="4" borderId="0" xfId="0" applyNumberFormat="1" applyFont="1" applyFill="1" applyBorder="1" applyAlignment="1">
      <alignment horizontal="center" vertical="center"/>
    </xf>
    <xf numFmtId="0" fontId="13" fillId="4" borderId="20" xfId="0" applyFont="1" applyFill="1" applyBorder="1" applyAlignment="1">
      <alignment horizontal="center" vertical="center"/>
    </xf>
    <xf numFmtId="0" fontId="13" fillId="4" borderId="21" xfId="0" applyFont="1" applyFill="1" applyBorder="1" applyAlignment="1">
      <alignment horizontal="center" vertical="center"/>
    </xf>
    <xf numFmtId="179" fontId="17" fillId="4" borderId="20" xfId="0" applyNumberFormat="1" applyFont="1" applyFill="1" applyBorder="1" applyAlignment="1">
      <alignment horizontal="center" vertical="center"/>
    </xf>
    <xf numFmtId="179" fontId="17" fillId="4" borderId="21" xfId="0" applyNumberFormat="1" applyFont="1" applyFill="1" applyBorder="1" applyAlignment="1">
      <alignment horizontal="center" vertical="center"/>
    </xf>
    <xf numFmtId="179" fontId="17" fillId="4" borderId="17" xfId="0" applyNumberFormat="1" applyFont="1" applyFill="1" applyBorder="1" applyAlignment="1">
      <alignment horizontal="center" vertical="center"/>
    </xf>
    <xf numFmtId="179" fontId="17" fillId="4" borderId="18" xfId="0" applyNumberFormat="1" applyFont="1" applyFill="1" applyBorder="1" applyAlignment="1">
      <alignment horizontal="center" vertical="center"/>
    </xf>
    <xf numFmtId="179" fontId="17" fillId="4" borderId="19" xfId="0" applyNumberFormat="1" applyFont="1" applyFill="1" applyBorder="1" applyAlignment="1">
      <alignment horizontal="center" vertical="center"/>
    </xf>
    <xf numFmtId="0" fontId="17" fillId="4" borderId="20" xfId="0" applyFont="1" applyFill="1" applyBorder="1" applyAlignment="1">
      <alignment horizontal="center" vertical="center"/>
    </xf>
    <xf numFmtId="0" fontId="17" fillId="4" borderId="21" xfId="0" applyFont="1" applyFill="1" applyBorder="1" applyAlignment="1">
      <alignment horizontal="center" vertical="center"/>
    </xf>
    <xf numFmtId="0" fontId="17" fillId="4" borderId="17" xfId="0" applyFont="1" applyFill="1" applyBorder="1" applyAlignment="1">
      <alignment horizontal="center" vertical="center"/>
    </xf>
    <xf numFmtId="0" fontId="17" fillId="4" borderId="18" xfId="0" applyFont="1" applyFill="1" applyBorder="1" applyAlignment="1">
      <alignment horizontal="center" vertical="center"/>
    </xf>
    <xf numFmtId="0" fontId="17" fillId="4" borderId="19" xfId="0" applyFont="1" applyFill="1" applyBorder="1" applyAlignment="1">
      <alignment horizontal="center" vertical="center"/>
    </xf>
    <xf numFmtId="0" fontId="11" fillId="4" borderId="0" xfId="0" applyFont="1" applyFill="1" applyAlignment="1">
      <alignment horizontal="center" vertical="center"/>
    </xf>
    <xf numFmtId="172" fontId="0" fillId="4" borderId="0" xfId="0" applyNumberFormat="1" applyFont="1" applyFill="1" applyAlignment="1">
      <alignment vertical="center"/>
    </xf>
  </cellXfs>
  <cellStyles count="2">
    <cellStyle name="Hyperlink" xfId="1" builtinId="8"/>
    <cellStyle name="Normal" xfId="0" builtinId="0"/>
  </cellStyles>
  <dxfs count="272">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font>
        <color rgb="FF006100"/>
      </font>
      <fill>
        <patternFill>
          <bgColor rgb="FFC6EFCE"/>
        </patternFill>
      </fill>
    </dxf>
    <dxf>
      <fill>
        <patternFill>
          <bgColor rgb="FF00B050"/>
        </patternFill>
      </fill>
    </dxf>
    <dxf>
      <fill>
        <patternFill>
          <bgColor rgb="FF00B050"/>
        </patternFill>
      </fill>
    </dxf>
    <dxf>
      <fill>
        <patternFill>
          <bgColor rgb="FF00B050"/>
        </patternFill>
      </fill>
    </dxf>
    <dxf>
      <fill>
        <patternFill>
          <bgColor theme="5" tint="0.39994506668294322"/>
        </patternFill>
      </fill>
    </dxf>
    <dxf>
      <fill>
        <patternFill>
          <bgColor theme="7" tint="0.39994506668294322"/>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alignment horizontal="right" vertical="center" textRotation="0" wrapText="1" indent="0" justifyLastLine="0" shrinkToFit="0" readingOrder="0"/>
    </dxf>
    <dxf>
      <alignment horizontal="right"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20" formatCode="d\-mmm\-yy"/>
      <alignment horizontal="general" vertical="center" textRotation="0" wrapText="1" indent="0" justifyLastLine="0" shrinkToFit="0" readingOrder="0"/>
    </dxf>
    <dxf>
      <alignment horizontal="right"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20" formatCode="d\-mmm\-yy"/>
      <alignment horizontal="general" vertical="center" textRotation="0" wrapText="1" indent="0" justifyLastLine="0" shrinkToFit="0" readingOrder="0"/>
    </dxf>
    <dxf>
      <alignment horizontal="right" vertical="center" textRotation="0" wrapText="1" indent="0" justifyLastLine="0" shrinkToFit="0" readingOrder="0"/>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right"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right" vertical="center" textRotation="0" wrapText="1" indent="0" justifyLastLine="0" shrinkToFit="0" readingOrder="0"/>
    </dxf>
    <dxf>
      <numFmt numFmtId="0" formatCode="General"/>
    </dxf>
    <dxf>
      <border diagonalUp="0" diagonalDown="0">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alignment horizontal="center" vertical="center" textRotation="0" wrapText="1" indent="0" justifyLastLine="0" shrinkToFit="0" readingOrder="0"/>
      <border diagonalUp="0" diagonalDown="0" outline="0">
        <left style="medium">
          <color theme="2" tint="-0.499984740745262"/>
        </left>
        <right style="medium">
          <color theme="2" tint="-0.499984740745262"/>
        </right>
        <top style="medium">
          <color theme="2" tint="-0.499984740745262"/>
        </top>
        <bottom style="medium">
          <color theme="2" tint="-0.499984740745262"/>
        </bottom>
      </border>
    </dxf>
    <dxf>
      <border diagonalUp="0" diagonalDown="0" outline="0">
        <left style="medium">
          <color theme="2" tint="-0.499984740745262"/>
        </left>
        <right style="medium">
          <color theme="2" tint="-0.499984740745262"/>
        </right>
        <top style="medium">
          <color theme="2" tint="-0.499984740745262"/>
        </top>
        <bottom style="medium">
          <color theme="2" tint="-0.499984740745262"/>
        </bottom>
      </border>
    </dxf>
    <dxf>
      <numFmt numFmtId="20" formatCode="d\-mmm\-yy"/>
      <alignment horizontal="general" vertical="center" textRotation="0" wrapText="1" indent="0" justifyLastLine="0" shrinkToFit="0" readingOrder="0"/>
      <border diagonalUp="0" diagonalDown="0" outline="0">
        <left style="medium">
          <color theme="2" tint="-0.499984740745262"/>
        </left>
        <right style="medium">
          <color theme="2" tint="-0.499984740745262"/>
        </right>
        <top style="medium">
          <color theme="2" tint="-0.499984740745262"/>
        </top>
        <bottom style="medium">
          <color theme="2" tint="-0.499984740745262"/>
        </bottom>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diagonalUp="0" diagonalDown="0">
        <left style="medium">
          <color theme="2" tint="-0.499984740745262"/>
        </left>
        <right/>
        <top style="medium">
          <color theme="2" tint="-0.499984740745262"/>
        </top>
        <bottom style="medium">
          <color theme="2" tint="-0.499984740745262"/>
        </bottom>
        <vertical/>
        <horizontal/>
      </border>
    </dxf>
    <dxf>
      <alignment horizontal="right" vertical="center" textRotation="0" wrapText="1" indent="0" justifyLastLine="0" shrinkToFit="0" readingOrder="0"/>
      <border diagonalUp="0" diagonalDown="0">
        <left style="medium">
          <color theme="2" tint="-0.499984740745262"/>
        </left>
        <right style="medium">
          <color theme="2" tint="-0.499984740745262"/>
        </right>
        <top style="medium">
          <color theme="2" tint="-0.499984740745262"/>
        </top>
        <bottom style="medium">
          <color theme="2" tint="-0.499984740745262"/>
        </bottom>
        <vertical/>
        <horizontal/>
      </border>
    </dxf>
    <dxf>
      <alignment horizontal="right" vertical="center" textRotation="0" wrapText="1" indent="0" justifyLastLine="0" shrinkToFit="0" readingOrder="0"/>
      <border diagonalUp="0" diagonalDown="0">
        <left style="medium">
          <color theme="2" tint="-0.499984740745262"/>
        </left>
        <right style="medium">
          <color theme="2" tint="-0.499984740745262"/>
        </right>
        <top style="medium">
          <color theme="2" tint="-0.499984740745262"/>
        </top>
        <bottom style="medium">
          <color theme="2" tint="-0.499984740745262"/>
        </bottom>
        <vertical/>
        <horizontal/>
      </border>
    </dxf>
    <dxf>
      <alignment horizontal="general" vertical="center" textRotation="0" wrapText="1" indent="0" justifyLastLine="0" shrinkToFit="0" readingOrder="0"/>
      <border diagonalUp="0" diagonalDown="0">
        <left style="medium">
          <color theme="2" tint="-0.499984740745262"/>
        </left>
        <right style="medium">
          <color theme="2" tint="-0.499984740745262"/>
        </right>
        <top style="medium">
          <color theme="2" tint="-0.499984740745262"/>
        </top>
        <bottom style="medium">
          <color theme="2" tint="-0.499984740745262"/>
        </bottom>
        <vertical/>
        <horizontal/>
      </border>
    </dxf>
    <dxf>
      <alignment horizontal="general" vertical="center" textRotation="0" wrapText="1" indent="0" justifyLastLine="0" shrinkToFit="0" readingOrder="0"/>
      <border diagonalUp="0" diagonalDown="0">
        <left style="medium">
          <color theme="2" tint="-0.499984740745262"/>
        </left>
        <right style="medium">
          <color theme="2" tint="-0.499984740745262"/>
        </right>
        <top style="medium">
          <color theme="2" tint="-0.499984740745262"/>
        </top>
        <bottom style="medium">
          <color theme="2" tint="-0.499984740745262"/>
        </bottom>
        <vertical/>
        <horizontal/>
      </border>
    </dxf>
    <dxf>
      <alignment horizontal="general" vertical="center" textRotation="0" wrapText="1" indent="0" justifyLastLine="0" shrinkToFit="0" readingOrder="0"/>
      <border diagonalUp="0" diagonalDown="0">
        <left style="medium">
          <color theme="2" tint="-0.499984740745262"/>
        </left>
        <right style="medium">
          <color theme="2" tint="-0.499984740745262"/>
        </right>
        <top style="medium">
          <color theme="2" tint="-0.499984740745262"/>
        </top>
        <bottom style="medium">
          <color theme="2" tint="-0.499984740745262"/>
        </bottom>
        <vertical/>
        <horizontal/>
      </border>
    </dxf>
    <dxf>
      <alignment horizontal="right" vertical="center" textRotation="0" wrapText="1" indent="0" justifyLastLine="0" shrinkToFit="0" readingOrder="0"/>
      <border diagonalUp="0" diagonalDown="0">
        <left/>
        <right style="medium">
          <color theme="2" tint="-0.499984740745262"/>
        </right>
        <top style="medium">
          <color theme="2" tint="-0.499984740745262"/>
        </top>
        <bottom style="medium">
          <color theme="2" tint="-0.499984740745262"/>
        </bottom>
        <vertical/>
        <horizontal/>
      </border>
    </dxf>
    <dxf>
      <border outline="0">
        <top style="medium">
          <color theme="2" tint="-0.499984740745262"/>
        </top>
      </border>
    </dxf>
    <dxf>
      <border outline="0">
        <bottom style="medium">
          <color theme="2" tint="-0.499984740745262"/>
        </bottom>
      </border>
    </dxf>
    <dxf>
      <border outline="0">
        <left style="medium">
          <color theme="2" tint="-0.499984740745262"/>
        </left>
        <right style="medium">
          <color theme="2" tint="-0.499984740745262"/>
        </right>
        <top style="medium">
          <color theme="2" tint="-0.499984740745262"/>
        </top>
        <bottom style="medium">
          <color theme="2" tint="-0.499984740745262"/>
        </bottom>
      </border>
    </dxf>
    <dxf>
      <numFmt numFmtId="172" formatCode="[$-14009]dd\ mmmm\ yyyy;@"/>
      <border diagonalUp="0" diagonalDown="0">
        <left style="medium">
          <color theme="2" tint="-0.499984740745262"/>
        </left>
        <right/>
        <top style="medium">
          <color theme="2" tint="-0.499984740745262"/>
        </top>
        <bottom style="medium">
          <color theme="2" tint="-0.499984740745262"/>
        </bottom>
        <vertical/>
        <horizontal/>
      </border>
    </dxf>
    <dxf>
      <border diagonalUp="0" diagonalDown="0">
        <left style="medium">
          <color theme="2" tint="-0.499984740745262"/>
        </left>
        <right style="medium">
          <color theme="2" tint="-0.499984740745262"/>
        </right>
        <top style="medium">
          <color theme="2" tint="-0.499984740745262"/>
        </top>
        <bottom style="medium">
          <color theme="2" tint="-0.499984740745262"/>
        </bottom>
        <vertical/>
        <horizontal/>
      </border>
    </dxf>
    <dxf>
      <border diagonalUp="0" diagonalDown="0">
        <left style="medium">
          <color theme="2" tint="-0.499984740745262"/>
        </left>
        <right style="medium">
          <color theme="2" tint="-0.499984740745262"/>
        </right>
        <top style="medium">
          <color theme="2" tint="-0.499984740745262"/>
        </top>
        <bottom style="medium">
          <color theme="2" tint="-0.499984740745262"/>
        </bottom>
        <vertical/>
        <horizontal/>
      </border>
    </dxf>
    <dxf>
      <numFmt numFmtId="20" formatCode="d\-mmm\-yy"/>
      <alignment horizontal="general" vertical="center" textRotation="0" wrapText="1" indent="0" justifyLastLine="0" shrinkToFit="0" readingOrder="0"/>
      <border diagonalUp="0" diagonalDown="0">
        <left style="medium">
          <color theme="2" tint="-0.499984740745262"/>
        </left>
        <right style="medium">
          <color theme="2" tint="-0.499984740745262"/>
        </right>
        <top style="medium">
          <color theme="2" tint="-0.499984740745262"/>
        </top>
        <bottom style="medium">
          <color theme="2" tint="-0.499984740745262"/>
        </bottom>
        <vertical/>
        <horizontal/>
      </border>
    </dxf>
    <dxf>
      <alignment horizontal="right" vertical="center" textRotation="0" wrapText="1" indent="0" justifyLastLine="0" shrinkToFit="0" readingOrder="0"/>
      <border diagonalUp="0" diagonalDown="0">
        <left style="medium">
          <color theme="2" tint="-0.499984740745262"/>
        </left>
        <right style="medium">
          <color theme="2" tint="-0.499984740745262"/>
        </right>
        <top style="medium">
          <color theme="2" tint="-0.499984740745262"/>
        </top>
        <bottom style="medium">
          <color theme="2" tint="-0.499984740745262"/>
        </bottom>
        <vertical/>
        <horizontal/>
      </border>
    </dxf>
    <dxf>
      <alignment horizontal="right" vertical="center" textRotation="0" wrapText="1" indent="0" justifyLastLine="0" shrinkToFit="0" readingOrder="0"/>
      <border diagonalUp="0" diagonalDown="0">
        <left style="medium">
          <color theme="2" tint="-0.499984740745262"/>
        </left>
        <right style="medium">
          <color theme="2" tint="-0.499984740745262"/>
        </right>
        <top style="medium">
          <color theme="2" tint="-0.499984740745262"/>
        </top>
        <bottom style="medium">
          <color theme="2" tint="-0.499984740745262"/>
        </bottom>
        <vertical/>
        <horizontal/>
      </border>
    </dxf>
    <dxf>
      <alignment horizontal="general" vertical="center" textRotation="0" wrapText="1" indent="0" justifyLastLine="0" shrinkToFit="0" readingOrder="0"/>
      <border diagonalUp="0" diagonalDown="0">
        <left style="medium">
          <color theme="2" tint="-0.499984740745262"/>
        </left>
        <right style="medium">
          <color theme="2" tint="-0.499984740745262"/>
        </right>
        <top style="medium">
          <color theme="2" tint="-0.499984740745262"/>
        </top>
        <bottom style="medium">
          <color theme="2" tint="-0.499984740745262"/>
        </bottom>
        <vertical/>
        <horizontal/>
      </border>
    </dxf>
    <dxf>
      <alignment horizontal="general" vertical="center" textRotation="0" wrapText="1" indent="0" justifyLastLine="0" shrinkToFit="0" readingOrder="0"/>
      <border diagonalUp="0" diagonalDown="0">
        <left style="medium">
          <color theme="2" tint="-0.499984740745262"/>
        </left>
        <right style="medium">
          <color theme="2" tint="-0.499984740745262"/>
        </right>
        <top style="medium">
          <color theme="2" tint="-0.499984740745262"/>
        </top>
        <bottom style="medium">
          <color theme="2" tint="-0.499984740745262"/>
        </bottom>
        <vertical/>
        <horizontal/>
      </border>
    </dxf>
    <dxf>
      <alignment horizontal="general" vertical="center" textRotation="0" wrapText="1" indent="0" justifyLastLine="0" shrinkToFit="0" readingOrder="0"/>
      <border diagonalUp="0" diagonalDown="0">
        <left style="medium">
          <color theme="2" tint="-0.499984740745262"/>
        </left>
        <right style="medium">
          <color theme="2" tint="-0.499984740745262"/>
        </right>
        <top style="medium">
          <color theme="2" tint="-0.499984740745262"/>
        </top>
        <bottom style="medium">
          <color theme="2" tint="-0.499984740745262"/>
        </bottom>
        <vertical/>
        <horizontal/>
      </border>
    </dxf>
    <dxf>
      <alignment horizontal="right" vertical="center" textRotation="0" wrapText="1" indent="0" justifyLastLine="0" shrinkToFit="0" readingOrder="0"/>
      <border diagonalUp="0" diagonalDown="0">
        <left/>
        <right style="medium">
          <color theme="2" tint="-0.499984740745262"/>
        </right>
        <top style="medium">
          <color theme="2" tint="-0.499984740745262"/>
        </top>
        <bottom style="medium">
          <color theme="2" tint="-0.499984740745262"/>
        </bottom>
        <vertical/>
        <horizontal/>
      </border>
    </dxf>
    <dxf>
      <border outline="0">
        <top style="medium">
          <color theme="2" tint="-0.499984740745262"/>
        </top>
      </border>
    </dxf>
    <dxf>
      <border outline="0">
        <bottom style="medium">
          <color theme="2" tint="-0.499984740745262"/>
        </bottom>
      </border>
    </dxf>
    <dxf>
      <border outline="0">
        <left style="medium">
          <color theme="2" tint="-0.499984740745262"/>
        </left>
        <right style="medium">
          <color theme="2" tint="-0.499984740745262"/>
        </right>
        <top style="medium">
          <color theme="2" tint="-0.499984740745262"/>
        </top>
        <bottom style="medium">
          <color theme="2" tint="-0.499984740745262"/>
        </bottom>
      </border>
    </dxf>
    <dxf>
      <alignment horizontal="right"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border>
        <left style="medium">
          <color theme="2" tint="-0.499984740745262"/>
        </left>
        <right style="medium">
          <color theme="2" tint="-0.499984740745262"/>
        </right>
        <top style="medium">
          <color theme="2" tint="-0.499984740745262"/>
        </top>
        <bottom style="medium">
          <color theme="2" tint="-0.499984740745262"/>
        </bottom>
        <vertical style="medium">
          <color theme="2" tint="-0.499984740745262"/>
        </vertical>
        <horizontal style="medium">
          <color theme="2" tint="-0.499984740745262"/>
        </horizontal>
      </border>
    </dxf>
    <dxf>
      <alignment horizontal="general" vertical="center" textRotation="0" wrapText="1" indent="0" justifyLastLine="0" shrinkToFit="0" readingOrder="0"/>
    </dxf>
    <dxf>
      <numFmt numFmtId="165" formatCode="_ [$₹-4009]\ * #,##0.00_ ;_ [$₹-4009]\ * \-#,##0.00_ ;_ [$₹-4009]\ * &quot;-&quot;??_ ;_ @_ "/>
      <alignment horizontal="right"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s>
  <tableStyles count="0" defaultTableStyle="TableStyleMedium2" defaultPivotStyle="PivotStyleLight16"/>
  <colors>
    <mruColors>
      <color rgb="FFFF522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microsoft.com/office/2007/relationships/slicerCache" Target="slicerCaches/slicerCache5.xml"/><Relationship Id="rId3" Type="http://schemas.openxmlformats.org/officeDocument/2006/relationships/worksheet" Target="worksheets/sheet3.xml"/><Relationship Id="rId21" Type="http://schemas.microsoft.com/office/2007/relationships/slicerCache" Target="slicerCaches/slicerCache8.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microsoft.com/office/2007/relationships/slicerCache" Target="slicerCaches/slicerCache4.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3.xml"/><Relationship Id="rId20" Type="http://schemas.microsoft.com/office/2007/relationships/slicerCache" Target="slicerCaches/slicerCache7.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styles" Target="styles.xml"/><Relationship Id="rId10" Type="http://schemas.openxmlformats.org/officeDocument/2006/relationships/pivotCacheDefinition" Target="pivotCache/pivotCacheDefinition5.xml"/><Relationship Id="rId19" Type="http://schemas.microsoft.com/office/2007/relationships/slicerCache" Target="slicerCaches/slicerCache6.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microsoft.com/office/2007/relationships/slicerCache" Target="slicerCaches/slicerCache1.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Dashboard.xlsx]Sheet1!PivotTable6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Sheet1!$G$257</c:f>
              <c:strCache>
                <c:ptCount val="1"/>
                <c:pt idx="0">
                  <c:v>Total</c:v>
                </c:pt>
              </c:strCache>
            </c:strRef>
          </c:tx>
          <c:spPr>
            <a:solidFill>
              <a:schemeClr val="accent1"/>
            </a:solidFill>
            <a:ln>
              <a:noFill/>
            </a:ln>
            <a:effectLst/>
          </c:spPr>
          <c:invertIfNegative val="0"/>
          <c:cat>
            <c:strRef>
              <c:f>Sheet1!$F$258:$F$261</c:f>
              <c:strCache>
                <c:ptCount val="3"/>
                <c:pt idx="0">
                  <c:v>Bangalore</c:v>
                </c:pt>
                <c:pt idx="1">
                  <c:v>Chennai</c:v>
                </c:pt>
                <c:pt idx="2">
                  <c:v>Hyderabad</c:v>
                </c:pt>
              </c:strCache>
            </c:strRef>
          </c:cat>
          <c:val>
            <c:numRef>
              <c:f>Sheet1!$G$258:$G$261</c:f>
              <c:numCache>
                <c:formatCode>General</c:formatCode>
                <c:ptCount val="3"/>
                <c:pt idx="0">
                  <c:v>150000</c:v>
                </c:pt>
                <c:pt idx="1">
                  <c:v>30000</c:v>
                </c:pt>
                <c:pt idx="2">
                  <c:v>160000</c:v>
                </c:pt>
              </c:numCache>
            </c:numRef>
          </c:val>
          <c:extLst>
            <c:ext xmlns:c16="http://schemas.microsoft.com/office/drawing/2014/chart" uri="{C3380CC4-5D6E-409C-BE32-E72D297353CC}">
              <c16:uniqueId val="{00000000-30DB-4807-AC22-455489604F29}"/>
            </c:ext>
          </c:extLst>
        </c:ser>
        <c:dLbls>
          <c:showLegendKey val="0"/>
          <c:showVal val="0"/>
          <c:showCatName val="0"/>
          <c:showSerName val="0"/>
          <c:showPercent val="0"/>
          <c:showBubbleSize val="0"/>
        </c:dLbls>
        <c:gapWidth val="219"/>
        <c:overlap val="-27"/>
        <c:axId val="1140103951"/>
        <c:axId val="1140123151"/>
      </c:barChart>
      <c:catAx>
        <c:axId val="1140103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0123151"/>
        <c:crosses val="autoZero"/>
        <c:auto val="1"/>
        <c:lblAlgn val="ctr"/>
        <c:lblOffset val="100"/>
        <c:noMultiLvlLbl val="0"/>
      </c:catAx>
      <c:valAx>
        <c:axId val="11401231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0103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Dashboard.xlsx]Sheet1!PivotTable1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Sheet1!$J$241</c:f>
              <c:strCache>
                <c:ptCount val="1"/>
                <c:pt idx="0">
                  <c:v>Total</c:v>
                </c:pt>
              </c:strCache>
            </c:strRef>
          </c:tx>
          <c:spPr>
            <a:solidFill>
              <a:schemeClr val="accent1"/>
            </a:solidFill>
            <a:ln>
              <a:noFill/>
            </a:ln>
            <a:effectLst/>
          </c:spPr>
          <c:invertIfNegative val="0"/>
          <c:cat>
            <c:strRef>
              <c:f>Sheet1!$I$242:$I$245</c:f>
              <c:strCache>
                <c:ptCount val="3"/>
                <c:pt idx="0">
                  <c:v>Bangalore</c:v>
                </c:pt>
                <c:pt idx="1">
                  <c:v>Chennai</c:v>
                </c:pt>
                <c:pt idx="2">
                  <c:v>Hyderabad</c:v>
                </c:pt>
              </c:strCache>
            </c:strRef>
          </c:cat>
          <c:val>
            <c:numRef>
              <c:f>Sheet1!$J$242:$J$245</c:f>
              <c:numCache>
                <c:formatCode>General</c:formatCode>
                <c:ptCount val="3"/>
                <c:pt idx="0">
                  <c:v>150000</c:v>
                </c:pt>
                <c:pt idx="1">
                  <c:v>30000</c:v>
                </c:pt>
                <c:pt idx="2">
                  <c:v>160000</c:v>
                </c:pt>
              </c:numCache>
            </c:numRef>
          </c:val>
          <c:extLst>
            <c:ext xmlns:c16="http://schemas.microsoft.com/office/drawing/2014/chart" uri="{C3380CC4-5D6E-409C-BE32-E72D297353CC}">
              <c16:uniqueId val="{00000000-5F3D-46C1-9E9E-BCA73E601503}"/>
            </c:ext>
          </c:extLst>
        </c:ser>
        <c:dLbls>
          <c:showLegendKey val="0"/>
          <c:showVal val="0"/>
          <c:showCatName val="0"/>
          <c:showSerName val="0"/>
          <c:showPercent val="0"/>
          <c:showBubbleSize val="0"/>
        </c:dLbls>
        <c:gapWidth val="219"/>
        <c:overlap val="-27"/>
        <c:axId val="1140092911"/>
        <c:axId val="1140098191"/>
      </c:barChart>
      <c:catAx>
        <c:axId val="1140092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0098191"/>
        <c:crosses val="autoZero"/>
        <c:auto val="1"/>
        <c:lblAlgn val="ctr"/>
        <c:lblOffset val="100"/>
        <c:noMultiLvlLbl val="0"/>
      </c:catAx>
      <c:valAx>
        <c:axId val="11400981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0092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Dashboard.xlsx]Sheet1!PivotTable10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Sheet1!$N$308</c:f>
              <c:strCache>
                <c:ptCount val="1"/>
                <c:pt idx="0">
                  <c:v>Total</c:v>
                </c:pt>
              </c:strCache>
            </c:strRef>
          </c:tx>
          <c:spPr>
            <a:solidFill>
              <a:schemeClr val="accent1"/>
            </a:solidFill>
            <a:ln>
              <a:noFill/>
            </a:ln>
            <a:effectLst/>
          </c:spPr>
          <c:invertIfNegative val="0"/>
          <c:cat>
            <c:strRef>
              <c:f>Sheet1!$M$309:$M$313</c:f>
              <c:strCache>
                <c:ptCount val="4"/>
                <c:pt idx="0">
                  <c:v>Finance</c:v>
                </c:pt>
                <c:pt idx="1">
                  <c:v>HR</c:v>
                </c:pt>
                <c:pt idx="2">
                  <c:v>IT</c:v>
                </c:pt>
                <c:pt idx="3">
                  <c:v>Sales</c:v>
                </c:pt>
              </c:strCache>
            </c:strRef>
          </c:cat>
          <c:val>
            <c:numRef>
              <c:f>Sheet1!$N$309:$N$313</c:f>
              <c:numCache>
                <c:formatCode>General</c:formatCode>
                <c:ptCount val="4"/>
                <c:pt idx="0">
                  <c:v>30000</c:v>
                </c:pt>
                <c:pt idx="1">
                  <c:v>42000</c:v>
                </c:pt>
                <c:pt idx="2">
                  <c:v>140000</c:v>
                </c:pt>
                <c:pt idx="3">
                  <c:v>52000</c:v>
                </c:pt>
              </c:numCache>
            </c:numRef>
          </c:val>
          <c:extLst>
            <c:ext xmlns:c16="http://schemas.microsoft.com/office/drawing/2014/chart" uri="{C3380CC4-5D6E-409C-BE32-E72D297353CC}">
              <c16:uniqueId val="{00000000-9544-4C2F-9E95-5A8863F77939}"/>
            </c:ext>
          </c:extLst>
        </c:ser>
        <c:dLbls>
          <c:showLegendKey val="0"/>
          <c:showVal val="0"/>
          <c:showCatName val="0"/>
          <c:showSerName val="0"/>
          <c:showPercent val="0"/>
          <c:showBubbleSize val="0"/>
        </c:dLbls>
        <c:gapWidth val="219"/>
        <c:overlap val="-27"/>
        <c:axId val="1140133231"/>
        <c:axId val="1140136111"/>
      </c:barChart>
      <c:catAx>
        <c:axId val="1140133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0136111"/>
        <c:crosses val="autoZero"/>
        <c:auto val="1"/>
        <c:lblAlgn val="ctr"/>
        <c:lblOffset val="100"/>
        <c:noMultiLvlLbl val="0"/>
      </c:catAx>
      <c:valAx>
        <c:axId val="1140136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0133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Dashboard.xlsx]Sheet1!PivotTable12</c:name>
    <c:fmtId val="0"/>
  </c:pivotSource>
  <c:chart>
    <c:title>
      <c:layout>
        <c:manualLayout>
          <c:xMode val="edge"/>
          <c:yMode val="edge"/>
          <c:x val="0.46819444444444447"/>
          <c:y val="8.694225721784776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14192913385827"/>
          <c:y val="0.25402559055118112"/>
          <c:w val="0.5161362642169729"/>
          <c:h val="0.6293157626130067"/>
        </c:manualLayout>
      </c:layout>
      <c:barChart>
        <c:barDir val="bar"/>
        <c:grouping val="clustered"/>
        <c:varyColors val="0"/>
        <c:ser>
          <c:idx val="0"/>
          <c:order val="0"/>
          <c:tx>
            <c:strRef>
              <c:f>Sheet1!$H$388</c:f>
              <c:strCache>
                <c:ptCount val="1"/>
                <c:pt idx="0">
                  <c:v>Total</c:v>
                </c:pt>
              </c:strCache>
            </c:strRef>
          </c:tx>
          <c:spPr>
            <a:solidFill>
              <a:schemeClr val="accent1"/>
            </a:solidFill>
            <a:ln>
              <a:noFill/>
            </a:ln>
            <a:effectLst/>
          </c:spPr>
          <c:invertIfNegative val="0"/>
          <c:cat>
            <c:strRef>
              <c:f>Sheet1!$G$389:$G$390</c:f>
              <c:strCache>
                <c:ptCount val="1"/>
                <c:pt idx="0">
                  <c:v>HR</c:v>
                </c:pt>
              </c:strCache>
            </c:strRef>
          </c:cat>
          <c:val>
            <c:numRef>
              <c:f>Sheet1!$H$389:$H$390</c:f>
              <c:numCache>
                <c:formatCode>General</c:formatCode>
                <c:ptCount val="1"/>
                <c:pt idx="0">
                  <c:v>81000</c:v>
                </c:pt>
              </c:numCache>
            </c:numRef>
          </c:val>
          <c:extLst>
            <c:ext xmlns:c16="http://schemas.microsoft.com/office/drawing/2014/chart" uri="{C3380CC4-5D6E-409C-BE32-E72D297353CC}">
              <c16:uniqueId val="{00000000-DA49-422E-934F-B54982C17D68}"/>
            </c:ext>
          </c:extLst>
        </c:ser>
        <c:dLbls>
          <c:showLegendKey val="0"/>
          <c:showVal val="0"/>
          <c:showCatName val="0"/>
          <c:showSerName val="0"/>
          <c:showPercent val="0"/>
          <c:showBubbleSize val="0"/>
        </c:dLbls>
        <c:gapWidth val="182"/>
        <c:axId val="1140075631"/>
        <c:axId val="1140072271"/>
      </c:barChart>
      <c:catAx>
        <c:axId val="11400756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0072271"/>
        <c:crosses val="autoZero"/>
        <c:auto val="1"/>
        <c:lblAlgn val="ctr"/>
        <c:lblOffset val="100"/>
        <c:noMultiLvlLbl val="0"/>
      </c:catAx>
      <c:valAx>
        <c:axId val="11400722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0075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Dashboard.xlsx]Sheet1!PivotTable17</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 Region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numFmt formatCode="&quot;₹&quot;\ #,##0;[Red]&quot;₹&quot;\ #,##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numFmt formatCode="&quot;₹&quot;\ #,##0;[Red]&quot;₹&quot;\ #,##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numFmt formatCode="[$₹-439]#,##0;[Red][$₹-439]#,##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Sheet1!$C$467</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numFmt formatCode="[$₹-439]#,##0;[Red][$₹-439]#,##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Sheet1!$B$468:$B$472</c:f>
              <c:strCache>
                <c:ptCount val="4"/>
                <c:pt idx="0">
                  <c:v>East</c:v>
                </c:pt>
                <c:pt idx="1">
                  <c:v>North</c:v>
                </c:pt>
                <c:pt idx="2">
                  <c:v>South</c:v>
                </c:pt>
                <c:pt idx="3">
                  <c:v>West</c:v>
                </c:pt>
              </c:strCache>
            </c:strRef>
          </c:cat>
          <c:val>
            <c:numRef>
              <c:f>Sheet1!$C$468:$C$472</c:f>
              <c:numCache>
                <c:formatCode>General</c:formatCode>
                <c:ptCount val="4"/>
                <c:pt idx="0">
                  <c:v>200000</c:v>
                </c:pt>
                <c:pt idx="1">
                  <c:v>189000</c:v>
                </c:pt>
                <c:pt idx="2">
                  <c:v>75000</c:v>
                </c:pt>
                <c:pt idx="3">
                  <c:v>72000</c:v>
                </c:pt>
              </c:numCache>
            </c:numRef>
          </c:val>
          <c:extLst>
            <c:ext xmlns:c16="http://schemas.microsoft.com/office/drawing/2014/chart" uri="{C3380CC4-5D6E-409C-BE32-E72D297353CC}">
              <c16:uniqueId val="{00000000-286C-4768-932D-C34EB33D6EF0}"/>
            </c:ext>
          </c:extLst>
        </c:ser>
        <c:dLbls>
          <c:dLblPos val="inEnd"/>
          <c:showLegendKey val="0"/>
          <c:showVal val="1"/>
          <c:showCatName val="0"/>
          <c:showSerName val="0"/>
          <c:showPercent val="0"/>
          <c:showBubbleSize val="0"/>
        </c:dLbls>
        <c:gapWidth val="65"/>
        <c:axId val="1204935663"/>
        <c:axId val="1204910703"/>
      </c:barChart>
      <c:catAx>
        <c:axId val="120493566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04910703"/>
        <c:crosses val="autoZero"/>
        <c:auto val="1"/>
        <c:lblAlgn val="ctr"/>
        <c:lblOffset val="100"/>
        <c:noMultiLvlLbl val="0"/>
      </c:catAx>
      <c:valAx>
        <c:axId val="1204910703"/>
        <c:scaling>
          <c:orientation val="minMax"/>
        </c:scaling>
        <c:delete val="1"/>
        <c:axPos val="l"/>
        <c:numFmt formatCode="General" sourceLinked="1"/>
        <c:majorTickMark val="none"/>
        <c:minorTickMark val="none"/>
        <c:tickLblPos val="nextTo"/>
        <c:crossAx val="1204935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Dashboard.xlsx]Sheet1!PivotTable18</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Salesperson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numFmt formatCode="&quot;₹&quot;\ #,##0;[Red]&quot;₹&quot;\ #,##0"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numFmt formatCode="&quot;₹&quot;\ #,##0;[Red]&quot;₹&quot;\ #,##0"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numFmt formatCode="[$₹-439]#,##0;[Red][$₹-439]#,##0"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616447944007"/>
          <c:y val="0.13004629629629633"/>
          <c:w val="0.84972440944881877"/>
          <c:h val="0.81810987168270621"/>
        </c:manualLayout>
      </c:layout>
      <c:barChart>
        <c:barDir val="bar"/>
        <c:grouping val="clustered"/>
        <c:varyColors val="0"/>
        <c:ser>
          <c:idx val="0"/>
          <c:order val="0"/>
          <c:tx>
            <c:strRef>
              <c:f>Sheet1!$F$467</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numFmt formatCode="[$₹-439]#,##0;[Red][$₹-439]#,##0"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Sheet1!$E$468:$E$473</c:f>
              <c:strCache>
                <c:ptCount val="5"/>
                <c:pt idx="0">
                  <c:v>Amit</c:v>
                </c:pt>
                <c:pt idx="1">
                  <c:v>Neha</c:v>
                </c:pt>
                <c:pt idx="2">
                  <c:v>Priya</c:v>
                </c:pt>
                <c:pt idx="3">
                  <c:v>Rahul</c:v>
                </c:pt>
                <c:pt idx="4">
                  <c:v>Simran</c:v>
                </c:pt>
              </c:strCache>
            </c:strRef>
          </c:cat>
          <c:val>
            <c:numRef>
              <c:f>Sheet1!$F$468:$F$473</c:f>
              <c:numCache>
                <c:formatCode>General</c:formatCode>
                <c:ptCount val="5"/>
                <c:pt idx="0">
                  <c:v>240000</c:v>
                </c:pt>
                <c:pt idx="1">
                  <c:v>32000</c:v>
                </c:pt>
                <c:pt idx="2">
                  <c:v>84000</c:v>
                </c:pt>
                <c:pt idx="3">
                  <c:v>75000</c:v>
                </c:pt>
                <c:pt idx="4">
                  <c:v>105000</c:v>
                </c:pt>
              </c:numCache>
            </c:numRef>
          </c:val>
          <c:extLst>
            <c:ext xmlns:c16="http://schemas.microsoft.com/office/drawing/2014/chart" uri="{C3380CC4-5D6E-409C-BE32-E72D297353CC}">
              <c16:uniqueId val="{00000000-94AC-4D63-952B-DAE18A051806}"/>
            </c:ext>
          </c:extLst>
        </c:ser>
        <c:dLbls>
          <c:dLblPos val="inEnd"/>
          <c:showLegendKey val="0"/>
          <c:showVal val="1"/>
          <c:showCatName val="0"/>
          <c:showSerName val="0"/>
          <c:showPercent val="0"/>
          <c:showBubbleSize val="0"/>
        </c:dLbls>
        <c:gapWidth val="65"/>
        <c:axId val="1204930863"/>
        <c:axId val="1204915023"/>
      </c:barChart>
      <c:catAx>
        <c:axId val="1204930863"/>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04915023"/>
        <c:crosses val="autoZero"/>
        <c:auto val="1"/>
        <c:lblAlgn val="ctr"/>
        <c:lblOffset val="100"/>
        <c:noMultiLvlLbl val="0"/>
      </c:catAx>
      <c:valAx>
        <c:axId val="1204915023"/>
        <c:scaling>
          <c:orientation val="minMax"/>
        </c:scaling>
        <c:delete val="1"/>
        <c:axPos val="b"/>
        <c:numFmt formatCode="General" sourceLinked="1"/>
        <c:majorTickMark val="none"/>
        <c:minorTickMark val="none"/>
        <c:tickLblPos val="nextTo"/>
        <c:crossAx val="1204930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Dashboard.xlsx]Sheet1!PivotTable20</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Monthly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0.13800000000000001"/>
              <c:y val="-2.5462962962962962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2.0277777777777676E-2"/>
              <c:y val="-6.9444444444444448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0.13800000000000001"/>
              <c:y val="-2.5462962962962962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2.0277777777777676E-2"/>
              <c:y val="-6.9444444444444448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ln w="31750" cap="rnd">
            <a:solidFill>
              <a:schemeClr val="accent1"/>
            </a:solidFill>
            <a:round/>
          </a:ln>
          <a:effectLst/>
        </c:spPr>
        <c:marker>
          <c:symbol val="circle"/>
          <c:size val="17"/>
          <c:spPr>
            <a:solidFill>
              <a:schemeClr val="accent1"/>
            </a:solidFill>
            <a:ln>
              <a:noFill/>
            </a:ln>
            <a:effectLst/>
          </c:spPr>
        </c:marker>
        <c:dLbl>
          <c:idx val="0"/>
          <c:layout>
            <c:manualLayout>
              <c:x val="-0.22286642438323323"/>
              <c:y val="6.9036025255434577E-2"/>
            </c:manualLayout>
          </c:layout>
          <c:numFmt formatCode="[$₹-439]#,##0;[Red][$₹-439]#,##0"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31750" cap="rnd">
            <a:solidFill>
              <a:schemeClr val="accent1"/>
            </a:solidFill>
            <a:round/>
          </a:ln>
          <a:effectLst/>
        </c:spPr>
        <c:marker>
          <c:symbol val="circle"/>
          <c:size val="17"/>
          <c:spPr>
            <a:solidFill>
              <a:schemeClr val="accent1"/>
            </a:solidFill>
            <a:ln>
              <a:noFill/>
            </a:ln>
            <a:effectLst/>
          </c:spPr>
        </c:marker>
        <c:dLbl>
          <c:idx val="0"/>
          <c:layout>
            <c:manualLayout>
              <c:x val="1.6329346826126957E-2"/>
              <c:y val="-0.18026082100967206"/>
            </c:manualLayout>
          </c:layout>
          <c:numFmt formatCode="[$₹-439]#,##0;[Red][$₹-439]#,##0"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7069703192135303E-2"/>
          <c:y val="0.16098835688793028"/>
          <c:w val="0.95305831622162795"/>
          <c:h val="0.75003850435204877"/>
        </c:manualLayout>
      </c:layout>
      <c:lineChart>
        <c:grouping val="standard"/>
        <c:varyColors val="0"/>
        <c:ser>
          <c:idx val="0"/>
          <c:order val="0"/>
          <c:tx>
            <c:strRef>
              <c:f>Sheet1!$I$468</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dLbl>
              <c:idx val="0"/>
              <c:layout>
                <c:manualLayout>
                  <c:x val="-0.22286642438323323"/>
                  <c:y val="6.9036025255434577E-2"/>
                </c:manualLayout>
              </c:layout>
              <c:numFmt formatCode="[$₹-439]#,##0;[Red][$₹-439]#,##0"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ACB-403D-87A1-CE11A124BF1C}"/>
                </c:ext>
              </c:extLst>
            </c:dLbl>
            <c:dLbl>
              <c:idx val="1"/>
              <c:layout>
                <c:manualLayout>
                  <c:x val="1.6329346826126957E-2"/>
                  <c:y val="-0.18026082100967206"/>
                </c:manualLayout>
              </c:layout>
              <c:numFmt formatCode="[$₹-439]#,##0;[Red][$₹-439]#,##0"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ACB-403D-87A1-CE11A124BF1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Sheet1!$H$469:$H$471</c:f>
              <c:strCache>
                <c:ptCount val="2"/>
                <c:pt idx="0">
                  <c:v>Jan</c:v>
                </c:pt>
                <c:pt idx="1">
                  <c:v>Feb</c:v>
                </c:pt>
              </c:strCache>
            </c:strRef>
          </c:cat>
          <c:val>
            <c:numRef>
              <c:f>Sheet1!$I$469:$I$471</c:f>
              <c:numCache>
                <c:formatCode>General</c:formatCode>
                <c:ptCount val="2"/>
                <c:pt idx="0">
                  <c:v>452000</c:v>
                </c:pt>
                <c:pt idx="1">
                  <c:v>84000</c:v>
                </c:pt>
              </c:numCache>
            </c:numRef>
          </c:val>
          <c:smooth val="0"/>
          <c:extLst>
            <c:ext xmlns:c16="http://schemas.microsoft.com/office/drawing/2014/chart" uri="{C3380CC4-5D6E-409C-BE32-E72D297353CC}">
              <c16:uniqueId val="{00000002-FACB-403D-87A1-CE11A124BF1C}"/>
            </c:ext>
          </c:extLst>
        </c:ser>
        <c:dLbls>
          <c:dLblPos val="ctr"/>
          <c:showLegendKey val="0"/>
          <c:showVal val="1"/>
          <c:showCatName val="0"/>
          <c:showSerName val="0"/>
          <c:showPercent val="0"/>
          <c:showBubbleSize val="0"/>
        </c:dLbls>
        <c:marker val="1"/>
        <c:smooth val="0"/>
        <c:axId val="1892999951"/>
        <c:axId val="1892997551"/>
      </c:lineChart>
      <c:catAx>
        <c:axId val="189299995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ln>
                  <a:noFill/>
                </a:ln>
                <a:solidFill>
                  <a:schemeClr val="dk1">
                    <a:lumMod val="75000"/>
                    <a:lumOff val="25000"/>
                  </a:schemeClr>
                </a:solidFill>
                <a:latin typeface="+mn-lt"/>
                <a:ea typeface="+mn-ea"/>
                <a:cs typeface="+mn-cs"/>
              </a:defRPr>
            </a:pPr>
            <a:endParaRPr lang="en-US"/>
          </a:p>
        </c:txPr>
        <c:crossAx val="1892997551"/>
        <c:crosses val="autoZero"/>
        <c:auto val="1"/>
        <c:lblAlgn val="ctr"/>
        <c:lblOffset val="100"/>
        <c:noMultiLvlLbl val="0"/>
      </c:catAx>
      <c:valAx>
        <c:axId val="1892997551"/>
        <c:scaling>
          <c:orientation val="minMax"/>
        </c:scaling>
        <c:delete val="1"/>
        <c:axPos val="l"/>
        <c:numFmt formatCode="General" sourceLinked="1"/>
        <c:majorTickMark val="none"/>
        <c:minorTickMark val="none"/>
        <c:tickLblPos val="nextTo"/>
        <c:crossAx val="1892999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Dashboard.xlsx]Sheet1!PivotTable21</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Product</a:t>
            </a:r>
            <a:r>
              <a:rPr lang="en-US" baseline="0"/>
              <a:t> Sales</a:t>
            </a:r>
            <a:endParaRPr lang="en-US"/>
          </a:p>
        </c:rich>
      </c:tx>
      <c:layout>
        <c:manualLayout>
          <c:xMode val="edge"/>
          <c:yMode val="edge"/>
          <c:x val="3.798600174978127E-2"/>
          <c:y val="0.84259259259259256"/>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numFmt formatCode="[$₹-439]#,##0;[Red][$₹-439]#,##0" sourceLinked="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a:outerShdw blurRad="254000" sx="102000" sy="102000" algn="ctr" rotWithShape="0">
              <a:prstClr val="black">
                <a:alpha val="20000"/>
              </a:prstClr>
            </a:outerShdw>
          </a:effectLst>
        </c:spPr>
        <c:dLbl>
          <c:idx val="0"/>
          <c:layout>
            <c:manualLayout>
              <c:x val="-5.9747375328083982E-2"/>
              <c:y val="9.6730096237970256E-2"/>
            </c:manualLayout>
          </c:layout>
          <c:numFmt formatCode="[$₹-439]#,##0;[Red][$₹-439]#,##0" sourceLinked="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16569444444444445"/>
                  <c:h val="0.12689814814814815"/>
                </c:manualLayout>
              </c15:layout>
            </c:ext>
          </c:extLst>
        </c:dLbl>
      </c:pivotFmt>
      <c:pivotFmt>
        <c:idx val="2"/>
        <c:spPr>
          <a:solidFill>
            <a:schemeClr val="accent4"/>
          </a:solidFill>
          <a:ln>
            <a:noFill/>
          </a:ln>
          <a:effectLst>
            <a:outerShdw blurRad="254000" sx="102000" sy="102000" algn="ctr" rotWithShape="0">
              <a:prstClr val="black">
                <a:alpha val="20000"/>
              </a:prstClr>
            </a:outerShdw>
          </a:effectLst>
        </c:spPr>
        <c:dLbl>
          <c:idx val="0"/>
          <c:layout>
            <c:manualLayout>
              <c:x val="-0.15817235345581804"/>
              <c:y val="1.8838947214931446E-2"/>
            </c:manualLayout>
          </c:layout>
          <c:numFmt formatCode="[$₹-439]#,##0;[Red][$₹-439]#,##0" sourceLinked="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16111111111111112"/>
                  <c:h val="0.12689814814814815"/>
                </c:manualLayout>
              </c15:layout>
            </c:ext>
          </c:extLst>
        </c:dLbl>
      </c:pivotFmt>
      <c:pivotFmt>
        <c:idx val="3"/>
        <c:spPr>
          <a:solidFill>
            <a:schemeClr val="accent1"/>
          </a:solidFill>
          <a:ln>
            <a:noFill/>
          </a:ln>
          <a:effectLst>
            <a:outerShdw blurRad="254000" sx="102000" sy="102000" algn="ctr" rotWithShape="0">
              <a:prstClr val="black">
                <a:alpha val="20000"/>
              </a:prstClr>
            </a:outerShdw>
          </a:effectLst>
        </c:spPr>
        <c:dLbl>
          <c:idx val="0"/>
          <c:layout>
            <c:manualLayout>
              <c:x val="0.1726100174978128"/>
              <c:y val="7.0201953922426327E-2"/>
            </c:manualLayout>
          </c:layout>
          <c:numFmt formatCode="[$₹-439]#,##0;[Red][$₹-439]#,##0" sourceLinked="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1226399825021872"/>
                  <c:h val="0.12689814814814815"/>
                </c:manualLayout>
              </c15:layout>
            </c:ext>
          </c:extLst>
        </c:dLbl>
      </c:pivotFmt>
      <c:pivotFmt>
        <c:idx val="4"/>
        <c:spPr>
          <a:solidFill>
            <a:schemeClr val="accent2"/>
          </a:solidFill>
          <a:ln>
            <a:noFill/>
          </a:ln>
          <a:effectLst>
            <a:outerShdw blurRad="254000" sx="102000" sy="102000" algn="ctr" rotWithShape="0">
              <a:prstClr val="black">
                <a:alpha val="20000"/>
              </a:prstClr>
            </a:outerShdw>
          </a:effectLst>
        </c:spPr>
        <c:dLbl>
          <c:idx val="0"/>
          <c:numFmt formatCode="[$₹-439]#,##0;[Red][$₹-439]#,##0" sourceLinked="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15:layout>
                <c:manualLayout>
                  <c:w val="0.17958333333333334"/>
                  <c:h val="0.12689814814814815"/>
                </c:manualLayout>
              </c15:layout>
            </c:ext>
          </c:extLst>
        </c:dLbl>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numFmt formatCode="[$₹-439]#,##0;[Red][$₹-439]#,##0" sourceLinked="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dLbl>
          <c:idx val="0"/>
          <c:layout>
            <c:manualLayout>
              <c:x val="0.1726100174978128"/>
              <c:y val="7.0201953922426327E-2"/>
            </c:manualLayout>
          </c:layout>
          <c:numFmt formatCode="[$₹-439]#,##0;[Red][$₹-439]#,##0" sourceLinked="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1226399825021872"/>
                  <c:h val="0.12689814814814815"/>
                </c:manualLayout>
              </c15:layout>
            </c:ext>
          </c:extLst>
        </c:dLbl>
      </c:pivotFmt>
      <c:pivotFmt>
        <c:idx val="7"/>
        <c:spPr>
          <a:solidFill>
            <a:schemeClr val="accent1"/>
          </a:solidFill>
          <a:ln>
            <a:noFill/>
          </a:ln>
          <a:effectLst>
            <a:outerShdw blurRad="254000" sx="102000" sy="102000" algn="ctr" rotWithShape="0">
              <a:prstClr val="black">
                <a:alpha val="20000"/>
              </a:prstClr>
            </a:outerShdw>
          </a:effectLst>
        </c:spPr>
        <c:dLbl>
          <c:idx val="0"/>
          <c:numFmt formatCode="[$₹-439]#,##0;[Red][$₹-439]#,##0" sourceLinked="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15:layout>
                <c:manualLayout>
                  <c:w val="0.17958333333333334"/>
                  <c:h val="0.12689814814814815"/>
                </c:manualLayout>
              </c15:layout>
            </c:ext>
          </c:extLst>
        </c:dLbl>
      </c:pivotFmt>
      <c:pivotFmt>
        <c:idx val="8"/>
        <c:spPr>
          <a:solidFill>
            <a:schemeClr val="accent1"/>
          </a:solidFill>
          <a:ln>
            <a:noFill/>
          </a:ln>
          <a:effectLst>
            <a:outerShdw blurRad="254000" sx="102000" sy="102000" algn="ctr" rotWithShape="0">
              <a:prstClr val="black">
                <a:alpha val="20000"/>
              </a:prstClr>
            </a:outerShdw>
          </a:effectLst>
        </c:spPr>
        <c:dLbl>
          <c:idx val="0"/>
          <c:layout>
            <c:manualLayout>
              <c:x val="-5.9747375328083982E-2"/>
              <c:y val="9.6730096237970256E-2"/>
            </c:manualLayout>
          </c:layout>
          <c:numFmt formatCode="[$₹-439]#,##0;[Red][$₹-439]#,##0" sourceLinked="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16569444444444445"/>
                  <c:h val="0.12689814814814815"/>
                </c:manualLayout>
              </c15:layout>
            </c:ext>
          </c:extLst>
        </c:dLbl>
      </c:pivotFmt>
      <c:pivotFmt>
        <c:idx val="9"/>
        <c:spPr>
          <a:solidFill>
            <a:schemeClr val="accent1"/>
          </a:solidFill>
          <a:ln>
            <a:noFill/>
          </a:ln>
          <a:effectLst>
            <a:outerShdw blurRad="254000" sx="102000" sy="102000" algn="ctr" rotWithShape="0">
              <a:prstClr val="black">
                <a:alpha val="20000"/>
              </a:prstClr>
            </a:outerShdw>
          </a:effectLst>
        </c:spPr>
        <c:dLbl>
          <c:idx val="0"/>
          <c:layout>
            <c:manualLayout>
              <c:x val="-0.15817235345581804"/>
              <c:y val="1.8838947214931446E-2"/>
            </c:manualLayout>
          </c:layout>
          <c:numFmt formatCode="[$₹-439]#,##0;[Red][$₹-439]#,##0" sourceLinked="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16111111111111112"/>
                  <c:h val="0.12689814814814815"/>
                </c:manualLayout>
              </c15:layout>
            </c:ext>
          </c:extLst>
        </c:dLbl>
      </c:pivotFmt>
      <c:pivotFmt>
        <c:idx val="10"/>
        <c:spPr>
          <a:solidFill>
            <a:schemeClr val="accent1"/>
          </a:solidFill>
          <a:ln>
            <a:noFill/>
          </a:ln>
          <a:effectLst>
            <a:outerShdw blurRad="254000" sx="102000" sy="102000" algn="ctr" rotWithShape="0">
              <a:prstClr val="black">
                <a:alpha val="20000"/>
              </a:prstClr>
            </a:outerShdw>
          </a:effectLst>
        </c:spPr>
        <c:marker>
          <c:symbol val="none"/>
        </c:marker>
        <c:dLbl>
          <c:idx val="0"/>
          <c:numFmt formatCode="[$₹-439]#,##0;[Red][$₹-439]#,##0" sourceLinked="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c:spPr>
        <c:dLbl>
          <c:idx val="0"/>
          <c:layout>
            <c:manualLayout>
              <c:x val="0.19365613711401189"/>
              <c:y val="0.12213764312919721"/>
            </c:manualLayout>
          </c:layout>
          <c:numFmt formatCode="[$₹-439]#,##0;[Red][$₹-439]#,##0" sourceLinked="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0008531427714765"/>
                  <c:h val="0.18289811351148449"/>
                </c:manualLayout>
              </c15:layout>
            </c:ext>
          </c:extLst>
        </c:dLbl>
      </c:pivotFmt>
      <c:pivotFmt>
        <c:idx val="12"/>
        <c:spPr>
          <a:solidFill>
            <a:schemeClr val="accent1"/>
          </a:solidFill>
          <a:ln>
            <a:noFill/>
          </a:ln>
          <a:effectLst>
            <a:outerShdw blurRad="254000" sx="102000" sy="102000" algn="ctr" rotWithShape="0">
              <a:prstClr val="black">
                <a:alpha val="20000"/>
              </a:prstClr>
            </a:outerShdw>
          </a:effectLst>
        </c:spPr>
        <c:dLbl>
          <c:idx val="0"/>
          <c:numFmt formatCode="[$₹-439]#,##0;[Red][$₹-439]#,##0" sourceLinked="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15:layout>
                <c:manualLayout>
                  <c:w val="0.17958333333333334"/>
                  <c:h val="0.12689814814814815"/>
                </c:manualLayout>
              </c15:layout>
            </c:ext>
          </c:extLst>
        </c:dLbl>
      </c:pivotFmt>
      <c:pivotFmt>
        <c:idx val="13"/>
        <c:spPr>
          <a:solidFill>
            <a:schemeClr val="accent1"/>
          </a:solidFill>
          <a:ln>
            <a:noFill/>
          </a:ln>
          <a:effectLst>
            <a:outerShdw blurRad="254000" sx="102000" sy="102000" algn="ctr" rotWithShape="0">
              <a:prstClr val="black">
                <a:alpha val="20000"/>
              </a:prstClr>
            </a:outerShdw>
          </a:effectLst>
        </c:spPr>
        <c:dLbl>
          <c:idx val="0"/>
          <c:layout>
            <c:manualLayout>
              <c:x val="-5.9747375328083982E-2"/>
              <c:y val="9.6730096237970256E-2"/>
            </c:manualLayout>
          </c:layout>
          <c:numFmt formatCode="[$₹-439]#,##0;[Red][$₹-439]#,##0" sourceLinked="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16569444444444445"/>
                  <c:h val="0.12689814814814815"/>
                </c:manualLayout>
              </c15:layout>
            </c:ext>
          </c:extLst>
        </c:dLbl>
      </c:pivotFmt>
      <c:pivotFmt>
        <c:idx val="14"/>
        <c:spPr>
          <a:solidFill>
            <a:schemeClr val="accent1"/>
          </a:solidFill>
          <a:ln>
            <a:noFill/>
          </a:ln>
          <a:effectLst>
            <a:outerShdw blurRad="254000" sx="102000" sy="102000" algn="ctr" rotWithShape="0">
              <a:prstClr val="black">
                <a:alpha val="20000"/>
              </a:prstClr>
            </a:outerShdw>
          </a:effectLst>
        </c:spPr>
        <c:dLbl>
          <c:idx val="0"/>
          <c:layout>
            <c:manualLayout>
              <c:x val="-0.15817235345581804"/>
              <c:y val="1.8838947214931446E-2"/>
            </c:manualLayout>
          </c:layout>
          <c:numFmt formatCode="[$₹-439]#,##0;[Red][$₹-439]#,##0" sourceLinked="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16111111111111112"/>
                  <c:h val="0.12689814814814815"/>
                </c:manualLayout>
              </c15:layout>
            </c:ext>
          </c:extLst>
        </c:dLbl>
      </c:pivotFmt>
    </c:pivotFmts>
    <c:plotArea>
      <c:layout/>
      <c:pieChart>
        <c:varyColors val="1"/>
        <c:ser>
          <c:idx val="0"/>
          <c:order val="0"/>
          <c:tx>
            <c:strRef>
              <c:f>Sheet1!$F$478</c:f>
              <c:strCache>
                <c:ptCount val="1"/>
                <c:pt idx="0">
                  <c:v>Total</c:v>
                </c:pt>
              </c:strCache>
            </c:strRef>
          </c:tx>
          <c:explosion val="1"/>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E9A-4B31-8E24-C562DBC1E36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E9A-4B31-8E24-C562DBC1E36D}"/>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6E9A-4B31-8E24-C562DBC1E36D}"/>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6E9A-4B31-8E24-C562DBC1E36D}"/>
              </c:ext>
            </c:extLst>
          </c:dPt>
          <c:dLbls>
            <c:dLbl>
              <c:idx val="0"/>
              <c:layout>
                <c:manualLayout>
                  <c:x val="0.19365613711401189"/>
                  <c:y val="0.12213764312919721"/>
                </c:manualLayout>
              </c:layout>
              <c:numFmt formatCode="[$₹-439]#,##0;[Red][$₹-439]#,##0" sourceLinked="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0008531427714765"/>
                      <c:h val="0.18289811351148449"/>
                    </c:manualLayout>
                  </c15:layout>
                </c:ext>
                <c:ext xmlns:c16="http://schemas.microsoft.com/office/drawing/2014/chart" uri="{C3380CC4-5D6E-409C-BE32-E72D297353CC}">
                  <c16:uniqueId val="{00000001-6E9A-4B31-8E24-C562DBC1E36D}"/>
                </c:ext>
              </c:extLst>
            </c:dLbl>
            <c:dLbl>
              <c:idx val="1"/>
              <c:dLblPos val="ctr"/>
              <c:showLegendKey val="0"/>
              <c:showVal val="1"/>
              <c:showCatName val="1"/>
              <c:showSerName val="0"/>
              <c:showPercent val="0"/>
              <c:showBubbleSize val="0"/>
              <c:extLst>
                <c:ext xmlns:c15="http://schemas.microsoft.com/office/drawing/2012/chart" uri="{CE6537A1-D6FC-4f65-9D91-7224C49458BB}">
                  <c15:layout>
                    <c:manualLayout>
                      <c:w val="0.17958333333333334"/>
                      <c:h val="0.12689814814814815"/>
                    </c:manualLayout>
                  </c15:layout>
                </c:ext>
                <c:ext xmlns:c16="http://schemas.microsoft.com/office/drawing/2014/chart" uri="{C3380CC4-5D6E-409C-BE32-E72D297353CC}">
                  <c16:uniqueId val="{00000003-6E9A-4B31-8E24-C562DBC1E36D}"/>
                </c:ext>
              </c:extLst>
            </c:dLbl>
            <c:dLbl>
              <c:idx val="2"/>
              <c:layout>
                <c:manualLayout>
                  <c:x val="-5.9747375328083982E-2"/>
                  <c:y val="9.6730096237970256E-2"/>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16569444444444445"/>
                      <c:h val="0.12689814814814815"/>
                    </c:manualLayout>
                  </c15:layout>
                </c:ext>
                <c:ext xmlns:c16="http://schemas.microsoft.com/office/drawing/2014/chart" uri="{C3380CC4-5D6E-409C-BE32-E72D297353CC}">
                  <c16:uniqueId val="{00000005-6E9A-4B31-8E24-C562DBC1E36D}"/>
                </c:ext>
              </c:extLst>
            </c:dLbl>
            <c:dLbl>
              <c:idx val="3"/>
              <c:layout>
                <c:manualLayout>
                  <c:x val="-0.15817235345581804"/>
                  <c:y val="1.8838947214931446E-2"/>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16111111111111112"/>
                      <c:h val="0.12689814814814815"/>
                    </c:manualLayout>
                  </c15:layout>
                </c:ext>
                <c:ext xmlns:c16="http://schemas.microsoft.com/office/drawing/2014/chart" uri="{C3380CC4-5D6E-409C-BE32-E72D297353CC}">
                  <c16:uniqueId val="{00000007-6E9A-4B31-8E24-C562DBC1E36D}"/>
                </c:ext>
              </c:extLst>
            </c:dLbl>
            <c:numFmt formatCode="[$₹-439]#,##0;[Red][$₹-439]#,##0" sourceLinked="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Sheet1!$E$479:$E$483</c:f>
              <c:strCache>
                <c:ptCount val="4"/>
                <c:pt idx="0">
                  <c:v>Keyboard</c:v>
                </c:pt>
                <c:pt idx="1">
                  <c:v>Laptop</c:v>
                </c:pt>
                <c:pt idx="2">
                  <c:v>Monitor</c:v>
                </c:pt>
                <c:pt idx="3">
                  <c:v>Mouse</c:v>
                </c:pt>
              </c:strCache>
            </c:strRef>
          </c:cat>
          <c:val>
            <c:numRef>
              <c:f>Sheet1!$F$479:$F$483</c:f>
              <c:numCache>
                <c:formatCode>General</c:formatCode>
                <c:ptCount val="4"/>
                <c:pt idx="0">
                  <c:v>44000</c:v>
                </c:pt>
                <c:pt idx="1">
                  <c:v>360000</c:v>
                </c:pt>
                <c:pt idx="2">
                  <c:v>105000</c:v>
                </c:pt>
                <c:pt idx="3">
                  <c:v>27000</c:v>
                </c:pt>
              </c:numCache>
            </c:numRef>
          </c:val>
          <c:extLst>
            <c:ext xmlns:c16="http://schemas.microsoft.com/office/drawing/2014/chart" uri="{C3380CC4-5D6E-409C-BE32-E72D297353CC}">
              <c16:uniqueId val="{00000008-6E9A-4B31-8E24-C562DBC1E36D}"/>
            </c:ext>
          </c:extLst>
        </c:ser>
        <c:dLbls>
          <c:dLblPos val="ctr"/>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Dashboard.xlsx]Sheet1!Department Salary</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Salary by</a:t>
            </a:r>
            <a:r>
              <a:rPr lang="en-US" b="1" baseline="0"/>
              <a:t> </a:t>
            </a:r>
            <a:r>
              <a:rPr lang="en-US" sz="1400" b="1" i="0" u="none" strike="noStrike" kern="1200" spc="0" baseline="0">
                <a:solidFill>
                  <a:sysClr val="windowText" lastClr="000000">
                    <a:lumMod val="65000"/>
                    <a:lumOff val="35000"/>
                  </a:sysClr>
                </a:solidFill>
              </a:rPr>
              <a:t>Department</a:t>
            </a:r>
            <a:r>
              <a:rPr lang="en-US" sz="1100" b="1" i="0" u="none" strike="noStrike" kern="1200" spc="0" baseline="0">
                <a:solidFill>
                  <a:sysClr val="windowText" lastClr="000000">
                    <a:lumMod val="65000"/>
                    <a:lumOff val="35000"/>
                  </a:sysClr>
                </a:solidFill>
              </a:rPr>
              <a:t> </a:t>
            </a:r>
            <a:endParaRPr lang="en-US" b="1"/>
          </a:p>
        </c:rich>
      </c:tx>
      <c:layout>
        <c:manualLayout>
          <c:xMode val="edge"/>
          <c:yMode val="edge"/>
          <c:x val="0.30631257672806655"/>
          <c:y val="4.5029219268310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solidFill>
              <a:schemeClr val="accent1">
                <a:lumMod val="60000"/>
                <a:lumOff val="40000"/>
              </a:schemeClr>
            </a:solidFill>
          </a:ln>
          <a:effectLst/>
        </c:spPr>
        <c:marker>
          <c:symbol val="none"/>
        </c:marker>
        <c:dLbl>
          <c:idx val="0"/>
          <c:numFmt formatCode="[$₹-4009]\ #,##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60000"/>
              <a:lumOff val="40000"/>
            </a:schemeClr>
          </a:solidFill>
          <a:ln>
            <a:solidFill>
              <a:schemeClr val="accent1">
                <a:lumMod val="60000"/>
                <a:lumOff val="40000"/>
              </a:schemeClr>
            </a:solidFill>
          </a:ln>
          <a:effectLst/>
        </c:spPr>
        <c:dLbl>
          <c:idx val="0"/>
          <c:layout>
            <c:manualLayout>
              <c:x val="1.6779184087731616E-2"/>
              <c:y val="-2.170476342440704E-17"/>
            </c:manualLayout>
          </c:layout>
          <c:numFmt formatCode="[$₹-4009]\ #,##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60000"/>
              <a:lumOff val="40000"/>
            </a:schemeClr>
          </a:solidFill>
          <a:ln>
            <a:solidFill>
              <a:schemeClr val="accent1">
                <a:lumMod val="60000"/>
                <a:lumOff val="40000"/>
              </a:schemeClr>
            </a:solidFill>
          </a:ln>
          <a:effectLst/>
        </c:spPr>
        <c:dLbl>
          <c:idx val="0"/>
          <c:layout>
            <c:manualLayout>
              <c:x val="-2.0135020905277998E-2"/>
              <c:y val="9.471278906044869E-3"/>
            </c:manualLayout>
          </c:layout>
          <c:numFmt formatCode="[$₹-4009]\ #,##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7946429232026206E-2"/>
          <c:y val="0.16297721821826597"/>
          <c:w val="0.84053041232918257"/>
          <c:h val="0.7082215921294418"/>
        </c:manualLayout>
      </c:layout>
      <c:barChart>
        <c:barDir val="col"/>
        <c:grouping val="clustered"/>
        <c:varyColors val="0"/>
        <c:ser>
          <c:idx val="0"/>
          <c:order val="0"/>
          <c:tx>
            <c:strRef>
              <c:f>Sheet1!$D$443</c:f>
              <c:strCache>
                <c:ptCount val="1"/>
                <c:pt idx="0">
                  <c:v>Total</c:v>
                </c:pt>
              </c:strCache>
            </c:strRef>
          </c:tx>
          <c:spPr>
            <a:solidFill>
              <a:schemeClr val="accent1">
                <a:lumMod val="60000"/>
                <a:lumOff val="40000"/>
              </a:schemeClr>
            </a:solidFill>
            <a:ln>
              <a:solidFill>
                <a:schemeClr val="accent1">
                  <a:lumMod val="60000"/>
                  <a:lumOff val="40000"/>
                </a:schemeClr>
              </a:solidFill>
            </a:ln>
            <a:effectLst/>
          </c:spPr>
          <c:invertIfNegative val="0"/>
          <c:dLbls>
            <c:dLbl>
              <c:idx val="2"/>
              <c:layout>
                <c:manualLayout>
                  <c:x val="-2.0135020905277998E-2"/>
                  <c:y val="9.47127890604486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FBF-4533-B0FD-C59AEDF727EE}"/>
                </c:ext>
              </c:extLst>
            </c:dLbl>
            <c:dLbl>
              <c:idx val="3"/>
              <c:layout>
                <c:manualLayout>
                  <c:x val="1.6779184087731616E-2"/>
                  <c:y val="-2.170476342440704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FBF-4533-B0FD-C59AEDF727EE}"/>
                </c:ext>
              </c:extLst>
            </c:dLbl>
            <c:numFmt formatCode="[$₹-4009]\ #,##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Sheet1!$C$444:$C$448</c:f>
              <c:strCache>
                <c:ptCount val="4"/>
                <c:pt idx="0">
                  <c:v>Finance</c:v>
                </c:pt>
                <c:pt idx="1">
                  <c:v>HR</c:v>
                </c:pt>
                <c:pt idx="2">
                  <c:v>IT</c:v>
                </c:pt>
                <c:pt idx="3">
                  <c:v>Sales</c:v>
                </c:pt>
              </c:strCache>
            </c:strRef>
          </c:cat>
          <c:val>
            <c:numRef>
              <c:f>Sheet1!$D$444:$D$448</c:f>
              <c:numCache>
                <c:formatCode>General</c:formatCode>
                <c:ptCount val="4"/>
                <c:pt idx="0">
                  <c:v>30000</c:v>
                </c:pt>
                <c:pt idx="1">
                  <c:v>81000</c:v>
                </c:pt>
                <c:pt idx="2">
                  <c:v>140000</c:v>
                </c:pt>
                <c:pt idx="3">
                  <c:v>135000</c:v>
                </c:pt>
              </c:numCache>
            </c:numRef>
          </c:val>
          <c:extLst>
            <c:ext xmlns:c16="http://schemas.microsoft.com/office/drawing/2014/chart" uri="{C3380CC4-5D6E-409C-BE32-E72D297353CC}">
              <c16:uniqueId val="{00000000-7FBF-4533-B0FD-C59AEDF727EE}"/>
            </c:ext>
          </c:extLst>
        </c:ser>
        <c:dLbls>
          <c:showLegendKey val="0"/>
          <c:showVal val="0"/>
          <c:showCatName val="0"/>
          <c:showSerName val="0"/>
          <c:showPercent val="0"/>
          <c:showBubbleSize val="0"/>
        </c:dLbls>
        <c:gapWidth val="219"/>
        <c:overlap val="-27"/>
        <c:axId val="1140101551"/>
        <c:axId val="1140077551"/>
      </c:barChart>
      <c:catAx>
        <c:axId val="1140101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0077551"/>
        <c:crosses val="autoZero"/>
        <c:auto val="1"/>
        <c:lblAlgn val="ctr"/>
        <c:lblOffset val="100"/>
        <c:noMultiLvlLbl val="0"/>
      </c:catAx>
      <c:valAx>
        <c:axId val="1140077551"/>
        <c:scaling>
          <c:orientation val="minMax"/>
        </c:scaling>
        <c:delete val="1"/>
        <c:axPos val="l"/>
        <c:numFmt formatCode="[$₹-4009]\ #,##0" sourceLinked="0"/>
        <c:majorTickMark val="none"/>
        <c:minorTickMark val="none"/>
        <c:tickLblPos val="nextTo"/>
        <c:crossAx val="1140101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Dashboard.xlsx]Sheet1!Employee by City</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Employees by City</a:t>
            </a:r>
          </a:p>
        </c:rich>
      </c:tx>
      <c:layout>
        <c:manualLayout>
          <c:xMode val="edge"/>
          <c:yMode val="edge"/>
          <c:x val="0.3555753262158956"/>
          <c:y val="5.45348498104403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Sheet1!$G$442</c:f>
              <c:strCache>
                <c:ptCount val="1"/>
                <c:pt idx="0">
                  <c:v>Total</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Sheet1!$F$443:$F$448</c:f>
              <c:strCache>
                <c:ptCount val="5"/>
                <c:pt idx="0">
                  <c:v>Bangalore</c:v>
                </c:pt>
                <c:pt idx="1">
                  <c:v>Chennai</c:v>
                </c:pt>
                <c:pt idx="2">
                  <c:v>Delhi</c:v>
                </c:pt>
                <c:pt idx="3">
                  <c:v>Hyderabad</c:v>
                </c:pt>
                <c:pt idx="4">
                  <c:v>Mumbai</c:v>
                </c:pt>
              </c:strCache>
            </c:strRef>
          </c:cat>
          <c:val>
            <c:numRef>
              <c:f>Sheet1!$G$443:$G$448</c:f>
              <c:numCache>
                <c:formatCode>General</c:formatCode>
                <c:ptCount val="5"/>
                <c:pt idx="0">
                  <c:v>2</c:v>
                </c:pt>
                <c:pt idx="1">
                  <c:v>1</c:v>
                </c:pt>
                <c:pt idx="2">
                  <c:v>2</c:v>
                </c:pt>
                <c:pt idx="3">
                  <c:v>2</c:v>
                </c:pt>
                <c:pt idx="4">
                  <c:v>1</c:v>
                </c:pt>
              </c:numCache>
            </c:numRef>
          </c:val>
          <c:extLst>
            <c:ext xmlns:c16="http://schemas.microsoft.com/office/drawing/2014/chart" uri="{C3380CC4-5D6E-409C-BE32-E72D297353CC}">
              <c16:uniqueId val="{00000000-7731-454D-AD35-17DE0DAD9E72}"/>
            </c:ext>
          </c:extLst>
        </c:ser>
        <c:dLbls>
          <c:showLegendKey val="0"/>
          <c:showVal val="0"/>
          <c:showCatName val="0"/>
          <c:showSerName val="0"/>
          <c:showPercent val="0"/>
          <c:showBubbleSize val="0"/>
        </c:dLbls>
        <c:gapWidth val="182"/>
        <c:axId val="1140087631"/>
        <c:axId val="1140093871"/>
      </c:barChart>
      <c:catAx>
        <c:axId val="11400876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140093871"/>
        <c:crosses val="autoZero"/>
        <c:auto val="1"/>
        <c:lblAlgn val="ctr"/>
        <c:lblOffset val="100"/>
        <c:noMultiLvlLbl val="0"/>
      </c:catAx>
      <c:valAx>
        <c:axId val="1140093871"/>
        <c:scaling>
          <c:orientation val="minMax"/>
        </c:scaling>
        <c:delete val="0"/>
        <c:axPos val="b"/>
        <c:numFmt formatCode="0;[Red]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140087631"/>
        <c:crosses val="autoZero"/>
        <c:crossBetween val="between"/>
        <c:maj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Dashboard.xlsx]Sheet1!employee by depatment</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Employees by Department</a:t>
            </a:r>
          </a:p>
        </c:rich>
      </c:tx>
      <c:layout>
        <c:manualLayout>
          <c:xMode val="edge"/>
          <c:yMode val="edge"/>
          <c:x val="9.6934909075542669E-2"/>
          <c:y val="6.814612264688341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dLbl>
          <c:idx val="0"/>
          <c:layout>
            <c:manualLayout>
              <c:x val="0.14378459848154032"/>
              <c:y val="0.11151359479321131"/>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3616577221228383"/>
                  <c:h val="0.19861664928988196"/>
                </c:manualLayout>
              </c15:layout>
            </c:ext>
          </c:extLst>
        </c:dLbl>
      </c:pivotFmt>
    </c:pivotFmts>
    <c:plotArea>
      <c:layout/>
      <c:pieChart>
        <c:varyColors val="1"/>
        <c:ser>
          <c:idx val="0"/>
          <c:order val="0"/>
          <c:tx>
            <c:strRef>
              <c:f>Sheet1!$J$443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2F5-4FF9-BFB7-AEC0EB61A22C}"/>
              </c:ext>
            </c:extLst>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dLbl>
              <c:idx val="0"/>
              <c:layout>
                <c:manualLayout>
                  <c:x val="0.14378459848154032"/>
                  <c:y val="0.11151359479321131"/>
                </c:manualLayout>
              </c:layout>
              <c:showLegendKey val="0"/>
              <c:showVal val="1"/>
              <c:showCatName val="1"/>
              <c:showSerName val="0"/>
              <c:showPercent val="0"/>
              <c:showBubbleSize val="0"/>
              <c:extLst>
                <c:ext xmlns:c15="http://schemas.microsoft.com/office/drawing/2012/chart" uri="{CE6537A1-D6FC-4f65-9D91-7224C49458BB}">
                  <c15:layout>
                    <c:manualLayout>
                      <c:w val="0.23616577221228383"/>
                      <c:h val="0.19861664928988196"/>
                    </c:manualLayout>
                  </c15:layout>
                </c:ext>
                <c:ext xmlns:c16="http://schemas.microsoft.com/office/drawing/2014/chart" uri="{C3380CC4-5D6E-409C-BE32-E72D297353CC}">
                  <c16:uniqueId val="{00000001-22F5-4FF9-BFB7-AEC0EB61A22C}"/>
                </c:ext>
              </c:extLst>
            </c:dLbl>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Sheet1!$I$444:$I$448</c:f>
              <c:strCache>
                <c:ptCount val="4"/>
                <c:pt idx="0">
                  <c:v>Finance</c:v>
                </c:pt>
                <c:pt idx="1">
                  <c:v>HR</c:v>
                </c:pt>
                <c:pt idx="2">
                  <c:v>IT</c:v>
                </c:pt>
                <c:pt idx="3">
                  <c:v>Sales</c:v>
                </c:pt>
              </c:strCache>
            </c:strRef>
          </c:cat>
          <c:val>
            <c:numRef>
              <c:f>Sheet1!$J$444:$J$448</c:f>
              <c:numCache>
                <c:formatCode>General</c:formatCode>
                <c:ptCount val="4"/>
                <c:pt idx="0">
                  <c:v>1</c:v>
                </c:pt>
                <c:pt idx="1">
                  <c:v>2</c:v>
                </c:pt>
                <c:pt idx="2">
                  <c:v>2</c:v>
                </c:pt>
                <c:pt idx="3">
                  <c:v>3</c:v>
                </c:pt>
              </c:numCache>
            </c:numRef>
          </c:val>
          <c:extLst>
            <c:ext xmlns:c16="http://schemas.microsoft.com/office/drawing/2014/chart" uri="{C3380CC4-5D6E-409C-BE32-E72D297353CC}">
              <c16:uniqueId val="{00000002-22F5-4FF9-BFB7-AEC0EB61A22C}"/>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8.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7.xml"/><Relationship Id="rId5" Type="http://schemas.openxmlformats.org/officeDocument/2006/relationships/image" Target="../media/image5.png"/><Relationship Id="rId10" Type="http://schemas.openxmlformats.org/officeDocument/2006/relationships/chart" Target="../charts/chart6.xml"/><Relationship Id="rId4" Type="http://schemas.openxmlformats.org/officeDocument/2006/relationships/image" Target="../media/image4.svg"/><Relationship Id="rId9" Type="http://schemas.openxmlformats.org/officeDocument/2006/relationships/chart" Target="../charts/chart5.xml"/></Relationships>
</file>

<file path=xl/drawings/_rels/drawing3.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chart" Target="../charts/chart11.xml"/><Relationship Id="rId7" Type="http://schemas.openxmlformats.org/officeDocument/2006/relationships/image" Target="../media/image2.svg"/><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image" Target="../media/image1.png"/><Relationship Id="rId11" Type="http://schemas.openxmlformats.org/officeDocument/2006/relationships/image" Target="../media/image14.svg"/><Relationship Id="rId5" Type="http://schemas.openxmlformats.org/officeDocument/2006/relationships/image" Target="../media/image10.svg"/><Relationship Id="rId10" Type="http://schemas.openxmlformats.org/officeDocument/2006/relationships/image" Target="../media/image13.png"/><Relationship Id="rId4" Type="http://schemas.openxmlformats.org/officeDocument/2006/relationships/image" Target="../media/image9.png"/><Relationship Id="rId9" Type="http://schemas.openxmlformats.org/officeDocument/2006/relationships/image" Target="../media/image12.svg"/></Relationships>
</file>

<file path=xl/drawings/drawing1.xml><?xml version="1.0" encoding="utf-8"?>
<xdr:wsDr xmlns:xdr="http://schemas.openxmlformats.org/drawingml/2006/spreadsheetDrawing" xmlns:a="http://schemas.openxmlformats.org/drawingml/2006/main">
  <xdr:twoCellAnchor>
    <xdr:from>
      <xdr:col>7</xdr:col>
      <xdr:colOff>381000</xdr:colOff>
      <xdr:row>252</xdr:row>
      <xdr:rowOff>102870</xdr:rowOff>
    </xdr:from>
    <xdr:to>
      <xdr:col>11</xdr:col>
      <xdr:colOff>998220</xdr:colOff>
      <xdr:row>267</xdr:row>
      <xdr:rowOff>102870</xdr:rowOff>
    </xdr:to>
    <xdr:graphicFrame macro="">
      <xdr:nvGraphicFramePr>
        <xdr:cNvPr id="2" name="Chart 1">
          <a:extLst>
            <a:ext uri="{FF2B5EF4-FFF2-40B4-BE49-F238E27FC236}">
              <a16:creationId xmlns:a16="http://schemas.microsoft.com/office/drawing/2014/main" id="{279369A7-E537-91BF-BB22-92F1AD17AF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38100</xdr:colOff>
      <xdr:row>254</xdr:row>
      <xdr:rowOff>15240</xdr:rowOff>
    </xdr:from>
    <xdr:to>
      <xdr:col>4</xdr:col>
      <xdr:colOff>182880</xdr:colOff>
      <xdr:row>267</xdr:row>
      <xdr:rowOff>104775</xdr:rowOff>
    </xdr:to>
    <mc:AlternateContent xmlns:mc="http://schemas.openxmlformats.org/markup-compatibility/2006">
      <mc:Choice xmlns:a14="http://schemas.microsoft.com/office/drawing/2010/main" Requires="a14">
        <xdr:graphicFrame macro="">
          <xdr:nvGraphicFramePr>
            <xdr:cNvPr id="3" name="City">
              <a:extLst>
                <a:ext uri="{FF2B5EF4-FFF2-40B4-BE49-F238E27FC236}">
                  <a16:creationId xmlns:a16="http://schemas.microsoft.com/office/drawing/2014/main" id="{0752A1C5-2C3E-54DF-DF41-A1A22F7AA45F}"/>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508760" y="473811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571500</xdr:colOff>
      <xdr:row>236</xdr:row>
      <xdr:rowOff>129540</xdr:rowOff>
    </xdr:from>
    <xdr:to>
      <xdr:col>7</xdr:col>
      <xdr:colOff>579120</xdr:colOff>
      <xdr:row>250</xdr:row>
      <xdr:rowOff>36195</xdr:rowOff>
    </xdr:to>
    <mc:AlternateContent xmlns:mc="http://schemas.openxmlformats.org/markup-compatibility/2006">
      <mc:Choice xmlns:a14="http://schemas.microsoft.com/office/drawing/2010/main" Requires="a14">
        <xdr:graphicFrame macro="">
          <xdr:nvGraphicFramePr>
            <xdr:cNvPr id="4" name="City 1">
              <a:extLst>
                <a:ext uri="{FF2B5EF4-FFF2-40B4-BE49-F238E27FC236}">
                  <a16:creationId xmlns:a16="http://schemas.microsoft.com/office/drawing/2014/main" id="{2AE9E553-A571-ADA5-6331-625A459F8C14}"/>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4587240" y="442036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160020</xdr:colOff>
      <xdr:row>234</xdr:row>
      <xdr:rowOff>133350</xdr:rowOff>
    </xdr:from>
    <xdr:to>
      <xdr:col>14</xdr:col>
      <xdr:colOff>213360</xdr:colOff>
      <xdr:row>249</xdr:row>
      <xdr:rowOff>133350</xdr:rowOff>
    </xdr:to>
    <xdr:graphicFrame macro="">
      <xdr:nvGraphicFramePr>
        <xdr:cNvPr id="5" name="Chart 4">
          <a:extLst>
            <a:ext uri="{FF2B5EF4-FFF2-40B4-BE49-F238E27FC236}">
              <a16:creationId xmlns:a16="http://schemas.microsoft.com/office/drawing/2014/main" id="{81CC9CDD-6CCA-693C-71E7-DCBC1C92CB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342900</xdr:colOff>
      <xdr:row>312</xdr:row>
      <xdr:rowOff>110490</xdr:rowOff>
    </xdr:from>
    <xdr:to>
      <xdr:col>11</xdr:col>
      <xdr:colOff>320040</xdr:colOff>
      <xdr:row>327</xdr:row>
      <xdr:rowOff>64770</xdr:rowOff>
    </xdr:to>
    <xdr:graphicFrame macro="">
      <xdr:nvGraphicFramePr>
        <xdr:cNvPr id="7" name="Chart 6">
          <a:extLst>
            <a:ext uri="{FF2B5EF4-FFF2-40B4-BE49-F238E27FC236}">
              <a16:creationId xmlns:a16="http://schemas.microsoft.com/office/drawing/2014/main" id="{81BB44FC-31B5-C4C9-61CD-B23F76FAEA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701040</xdr:colOff>
      <xdr:row>314</xdr:row>
      <xdr:rowOff>129540</xdr:rowOff>
    </xdr:from>
    <xdr:to>
      <xdr:col>13</xdr:col>
      <xdr:colOff>190500</xdr:colOff>
      <xdr:row>327</xdr:row>
      <xdr:rowOff>180975</xdr:rowOff>
    </xdr:to>
    <mc:AlternateContent xmlns:mc="http://schemas.openxmlformats.org/markup-compatibility/2006">
      <mc:Choice xmlns:a14="http://schemas.microsoft.com/office/drawing/2010/main" Requires="a14">
        <xdr:graphicFrame macro="">
          <xdr:nvGraphicFramePr>
            <xdr:cNvPr id="11" name="Department">
              <a:extLst>
                <a:ext uri="{FF2B5EF4-FFF2-40B4-BE49-F238E27FC236}">
                  <a16:creationId xmlns:a16="http://schemas.microsoft.com/office/drawing/2014/main" id="{EF20FB53-4631-472B-4E6A-71352D523C0B}"/>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0386060" y="587197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594360</xdr:colOff>
      <xdr:row>386</xdr:row>
      <xdr:rowOff>41910</xdr:rowOff>
    </xdr:from>
    <xdr:to>
      <xdr:col>5</xdr:col>
      <xdr:colOff>167640</xdr:colOff>
      <xdr:row>400</xdr:row>
      <xdr:rowOff>171450</xdr:rowOff>
    </xdr:to>
    <xdr:graphicFrame macro="">
      <xdr:nvGraphicFramePr>
        <xdr:cNvPr id="13" name="Chart 12">
          <a:extLst>
            <a:ext uri="{FF2B5EF4-FFF2-40B4-BE49-F238E27FC236}">
              <a16:creationId xmlns:a16="http://schemas.microsoft.com/office/drawing/2014/main" id="{39B23B03-27D2-78E8-E79F-BC66138FD3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289560</xdr:colOff>
      <xdr:row>386</xdr:row>
      <xdr:rowOff>144780</xdr:rowOff>
    </xdr:from>
    <xdr:to>
      <xdr:col>10</xdr:col>
      <xdr:colOff>297180</xdr:colOff>
      <xdr:row>400</xdr:row>
      <xdr:rowOff>5715</xdr:rowOff>
    </xdr:to>
    <mc:AlternateContent xmlns:mc="http://schemas.openxmlformats.org/markup-compatibility/2006">
      <mc:Choice xmlns:a14="http://schemas.microsoft.com/office/drawing/2010/main" Requires="a14">
        <xdr:graphicFrame macro="">
          <xdr:nvGraphicFramePr>
            <xdr:cNvPr id="14" name="Department 1">
              <a:extLst>
                <a:ext uri="{FF2B5EF4-FFF2-40B4-BE49-F238E27FC236}">
                  <a16:creationId xmlns:a16="http://schemas.microsoft.com/office/drawing/2014/main" id="{51D728D9-470A-F6BA-E3E8-D8E1FD8A3DFB}"/>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6987540" y="723138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464820</xdr:colOff>
      <xdr:row>4</xdr:row>
      <xdr:rowOff>60960</xdr:rowOff>
    </xdr:from>
    <xdr:to>
      <xdr:col>2</xdr:col>
      <xdr:colOff>152400</xdr:colOff>
      <xdr:row>5</xdr:row>
      <xdr:rowOff>198120</xdr:rowOff>
    </xdr:to>
    <xdr:pic>
      <xdr:nvPicPr>
        <xdr:cNvPr id="3" name="Graphic 2" descr="Coins">
          <a:extLst>
            <a:ext uri="{FF2B5EF4-FFF2-40B4-BE49-F238E27FC236}">
              <a16:creationId xmlns:a16="http://schemas.microsoft.com/office/drawing/2014/main" id="{3AC7F4C5-F280-1690-E630-218409711F0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74420" y="792480"/>
          <a:ext cx="297180" cy="350520"/>
        </a:xfrm>
        <a:prstGeom prst="rect">
          <a:avLst/>
        </a:prstGeom>
      </xdr:spPr>
    </xdr:pic>
    <xdr:clientData/>
  </xdr:twoCellAnchor>
  <xdr:twoCellAnchor editAs="oneCell">
    <xdr:from>
      <xdr:col>6</xdr:col>
      <xdr:colOff>320039</xdr:colOff>
      <xdr:row>4</xdr:row>
      <xdr:rowOff>83821</xdr:rowOff>
    </xdr:from>
    <xdr:to>
      <xdr:col>7</xdr:col>
      <xdr:colOff>12191</xdr:colOff>
      <xdr:row>5</xdr:row>
      <xdr:rowOff>159094</xdr:rowOff>
    </xdr:to>
    <xdr:pic>
      <xdr:nvPicPr>
        <xdr:cNvPr id="5" name="Graphic 4" descr="Clipboard">
          <a:extLst>
            <a:ext uri="{FF2B5EF4-FFF2-40B4-BE49-F238E27FC236}">
              <a16:creationId xmlns:a16="http://schemas.microsoft.com/office/drawing/2014/main" id="{F4504EA2-8BD6-46C7-8899-471087D19BA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977639" y="815341"/>
          <a:ext cx="301752" cy="288633"/>
        </a:xfrm>
        <a:prstGeom prst="rect">
          <a:avLst/>
        </a:prstGeom>
      </xdr:spPr>
    </xdr:pic>
    <xdr:clientData/>
  </xdr:twoCellAnchor>
  <xdr:twoCellAnchor editAs="oneCell">
    <xdr:from>
      <xdr:col>11</xdr:col>
      <xdr:colOff>190500</xdr:colOff>
      <xdr:row>4</xdr:row>
      <xdr:rowOff>53340</xdr:rowOff>
    </xdr:from>
    <xdr:to>
      <xdr:col>11</xdr:col>
      <xdr:colOff>541020</xdr:colOff>
      <xdr:row>5</xdr:row>
      <xdr:rowOff>187452</xdr:rowOff>
    </xdr:to>
    <xdr:pic>
      <xdr:nvPicPr>
        <xdr:cNvPr id="7" name="Graphic 6" descr="Flowchart">
          <a:extLst>
            <a:ext uri="{FF2B5EF4-FFF2-40B4-BE49-F238E27FC236}">
              <a16:creationId xmlns:a16="http://schemas.microsoft.com/office/drawing/2014/main" id="{DB4CB697-74F8-0994-F9A7-899B9E03D65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96100" y="784860"/>
          <a:ext cx="350520" cy="347472"/>
        </a:xfrm>
        <a:prstGeom prst="rect">
          <a:avLst/>
        </a:prstGeom>
      </xdr:spPr>
    </xdr:pic>
    <xdr:clientData/>
  </xdr:twoCellAnchor>
  <xdr:twoCellAnchor editAs="oneCell">
    <xdr:from>
      <xdr:col>16</xdr:col>
      <xdr:colOff>327660</xdr:colOff>
      <xdr:row>4</xdr:row>
      <xdr:rowOff>76200</xdr:rowOff>
    </xdr:from>
    <xdr:to>
      <xdr:col>17</xdr:col>
      <xdr:colOff>65532</xdr:colOff>
      <xdr:row>5</xdr:row>
      <xdr:rowOff>210312</xdr:rowOff>
    </xdr:to>
    <xdr:pic>
      <xdr:nvPicPr>
        <xdr:cNvPr id="9" name="Graphic 8" descr="Ribbon">
          <a:extLst>
            <a:ext uri="{FF2B5EF4-FFF2-40B4-BE49-F238E27FC236}">
              <a16:creationId xmlns:a16="http://schemas.microsoft.com/office/drawing/2014/main" id="{B58F0C52-CD33-DA1E-54F4-426F59508E7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0081260" y="807720"/>
          <a:ext cx="347472" cy="347472"/>
        </a:xfrm>
        <a:prstGeom prst="rect">
          <a:avLst/>
        </a:prstGeom>
      </xdr:spPr>
    </xdr:pic>
    <xdr:clientData/>
  </xdr:twoCellAnchor>
  <xdr:twoCellAnchor>
    <xdr:from>
      <xdr:col>0</xdr:col>
      <xdr:colOff>609599</xdr:colOff>
      <xdr:row>8</xdr:row>
      <xdr:rowOff>7620</xdr:rowOff>
    </xdr:from>
    <xdr:to>
      <xdr:col>11</xdr:col>
      <xdr:colOff>186266</xdr:colOff>
      <xdr:row>24</xdr:row>
      <xdr:rowOff>42333</xdr:rowOff>
    </xdr:to>
    <xdr:graphicFrame macro="">
      <xdr:nvGraphicFramePr>
        <xdr:cNvPr id="10" name="Chart 9">
          <a:extLst>
            <a:ext uri="{FF2B5EF4-FFF2-40B4-BE49-F238E27FC236}">
              <a16:creationId xmlns:a16="http://schemas.microsoft.com/office/drawing/2014/main" id="{5EC3D2D0-D9A5-47CB-8A09-C06BDAD4F8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186266</xdr:colOff>
      <xdr:row>8</xdr:row>
      <xdr:rowOff>11007</xdr:rowOff>
    </xdr:from>
    <xdr:to>
      <xdr:col>21</xdr:col>
      <xdr:colOff>16933</xdr:colOff>
      <xdr:row>24</xdr:row>
      <xdr:rowOff>50799</xdr:rowOff>
    </xdr:to>
    <xdr:graphicFrame macro="">
      <xdr:nvGraphicFramePr>
        <xdr:cNvPr id="11" name="Chart 10">
          <a:extLst>
            <a:ext uri="{FF2B5EF4-FFF2-40B4-BE49-F238E27FC236}">
              <a16:creationId xmlns:a16="http://schemas.microsoft.com/office/drawing/2014/main" id="{75FED93B-BC09-4768-B518-63F62502EE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11</xdr:col>
      <xdr:colOff>160867</xdr:colOff>
      <xdr:row>24</xdr:row>
      <xdr:rowOff>58420</xdr:rowOff>
    </xdr:from>
    <xdr:to>
      <xdr:col>21</xdr:col>
      <xdr:colOff>16933</xdr:colOff>
      <xdr:row>42</xdr:row>
      <xdr:rowOff>16934</xdr:rowOff>
    </xdr:to>
    <xdr:graphicFrame macro="">
      <xdr:nvGraphicFramePr>
        <xdr:cNvPr id="12" name="Chart 11">
          <a:extLst>
            <a:ext uri="{FF2B5EF4-FFF2-40B4-BE49-F238E27FC236}">
              <a16:creationId xmlns:a16="http://schemas.microsoft.com/office/drawing/2014/main" id="{0C2BEE18-06E4-4602-AE73-1B8E03292B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0</xdr:col>
      <xdr:colOff>602826</xdr:colOff>
      <xdr:row>42</xdr:row>
      <xdr:rowOff>33868</xdr:rowOff>
    </xdr:from>
    <xdr:to>
      <xdr:col>5</xdr:col>
      <xdr:colOff>14562</xdr:colOff>
      <xdr:row>50</xdr:row>
      <xdr:rowOff>1</xdr:rowOff>
    </xdr:to>
    <mc:AlternateContent xmlns:mc="http://schemas.openxmlformats.org/markup-compatibility/2006">
      <mc:Choice xmlns:a14="http://schemas.microsoft.com/office/drawing/2010/main" Requires="a14">
        <xdr:graphicFrame macro="">
          <xdr:nvGraphicFramePr>
            <xdr:cNvPr id="13" name="Region">
              <a:extLst>
                <a:ext uri="{FF2B5EF4-FFF2-40B4-BE49-F238E27FC236}">
                  <a16:creationId xmlns:a16="http://schemas.microsoft.com/office/drawing/2014/main" id="{2B9A092A-61E1-3D9C-A2F0-FF72284B227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02826" y="7958668"/>
              <a:ext cx="2459736" cy="14562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24553</xdr:colOff>
      <xdr:row>42</xdr:row>
      <xdr:rowOff>39793</xdr:rowOff>
    </xdr:from>
    <xdr:to>
      <xdr:col>9</xdr:col>
      <xdr:colOff>47413</xdr:colOff>
      <xdr:row>50</xdr:row>
      <xdr:rowOff>9312</xdr:rowOff>
    </xdr:to>
    <mc:AlternateContent xmlns:mc="http://schemas.openxmlformats.org/markup-compatibility/2006">
      <mc:Choice xmlns:a14="http://schemas.microsoft.com/office/drawing/2010/main" Requires="a14">
        <xdr:graphicFrame macro="">
          <xdr:nvGraphicFramePr>
            <xdr:cNvPr id="14" name="Product">
              <a:extLst>
                <a:ext uri="{FF2B5EF4-FFF2-40B4-BE49-F238E27FC236}">
                  <a16:creationId xmlns:a16="http://schemas.microsoft.com/office/drawing/2014/main" id="{08BB0BBF-0EEC-D67A-A103-FB63FB1973C8}"/>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3072553" y="7964593"/>
              <a:ext cx="2461260" cy="14596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601134</xdr:colOff>
      <xdr:row>24</xdr:row>
      <xdr:rowOff>50800</xdr:rowOff>
    </xdr:from>
    <xdr:to>
      <xdr:col>11</xdr:col>
      <xdr:colOff>152400</xdr:colOff>
      <xdr:row>42</xdr:row>
      <xdr:rowOff>25399</xdr:rowOff>
    </xdr:to>
    <xdr:graphicFrame macro="">
      <xdr:nvGraphicFramePr>
        <xdr:cNvPr id="15" name="Chart 14">
          <a:extLst>
            <a:ext uri="{FF2B5EF4-FFF2-40B4-BE49-F238E27FC236}">
              <a16:creationId xmlns:a16="http://schemas.microsoft.com/office/drawing/2014/main" id="{7833DFBC-10CE-445C-BDAB-ED3461880B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8</xdr:row>
      <xdr:rowOff>5378</xdr:rowOff>
    </xdr:from>
    <xdr:to>
      <xdr:col>6</xdr:col>
      <xdr:colOff>601981</xdr:colOff>
      <xdr:row>23</xdr:row>
      <xdr:rowOff>4033</xdr:rowOff>
    </xdr:to>
    <xdr:graphicFrame macro="">
      <xdr:nvGraphicFramePr>
        <xdr:cNvPr id="2" name="Chart 1">
          <a:extLst>
            <a:ext uri="{FF2B5EF4-FFF2-40B4-BE49-F238E27FC236}">
              <a16:creationId xmlns:a16="http://schemas.microsoft.com/office/drawing/2014/main" id="{3696594A-FB01-4EE0-B880-F2E247DDFB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8</xdr:row>
      <xdr:rowOff>7620</xdr:rowOff>
    </xdr:from>
    <xdr:to>
      <xdr:col>14</xdr:col>
      <xdr:colOff>15240</xdr:colOff>
      <xdr:row>23</xdr:row>
      <xdr:rowOff>7620</xdr:rowOff>
    </xdr:to>
    <xdr:graphicFrame macro="">
      <xdr:nvGraphicFramePr>
        <xdr:cNvPr id="3" name="Chart 2">
          <a:extLst>
            <a:ext uri="{FF2B5EF4-FFF2-40B4-BE49-F238E27FC236}">
              <a16:creationId xmlns:a16="http://schemas.microsoft.com/office/drawing/2014/main" id="{E7EE61BA-1CE1-4EF0-BF5F-955B59724C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30480</xdr:colOff>
      <xdr:row>8</xdr:row>
      <xdr:rowOff>15240</xdr:rowOff>
    </xdr:from>
    <xdr:to>
      <xdr:col>21</xdr:col>
      <xdr:colOff>22860</xdr:colOff>
      <xdr:row>23</xdr:row>
      <xdr:rowOff>45720</xdr:rowOff>
    </xdr:to>
    <xdr:graphicFrame macro="">
      <xdr:nvGraphicFramePr>
        <xdr:cNvPr id="4" name="Chart 3">
          <a:extLst>
            <a:ext uri="{FF2B5EF4-FFF2-40B4-BE49-F238E27FC236}">
              <a16:creationId xmlns:a16="http://schemas.microsoft.com/office/drawing/2014/main" id="{2E7F22C1-7AD6-47AE-8B59-9F521866DA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7618</xdr:colOff>
      <xdr:row>23</xdr:row>
      <xdr:rowOff>10306</xdr:rowOff>
    </xdr:from>
    <xdr:to>
      <xdr:col>5</xdr:col>
      <xdr:colOff>580014</xdr:colOff>
      <xdr:row>31</xdr:row>
      <xdr:rowOff>10310</xdr:rowOff>
    </xdr:to>
    <mc:AlternateContent xmlns:mc="http://schemas.openxmlformats.org/markup-compatibility/2006">
      <mc:Choice xmlns:a14="http://schemas.microsoft.com/office/drawing/2010/main" Requires="a14">
        <xdr:graphicFrame macro="">
          <xdr:nvGraphicFramePr>
            <xdr:cNvPr id="5" name="Department 2">
              <a:extLst>
                <a:ext uri="{FF2B5EF4-FFF2-40B4-BE49-F238E27FC236}">
                  <a16:creationId xmlns:a16="http://schemas.microsoft.com/office/drawing/2014/main" id="{7FF5032C-E720-4BD1-B155-DF63A366161B}"/>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dr:sp macro="" textlink="">
          <xdr:nvSpPr>
            <xdr:cNvPr id="0" name=""/>
            <xdr:cNvSpPr>
              <a:spLocks noTextEdit="1"/>
            </xdr:cNvSpPr>
          </xdr:nvSpPr>
          <xdr:spPr>
            <a:xfrm>
              <a:off x="617218" y="4285126"/>
              <a:ext cx="3147956" cy="14630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573741</xdr:colOff>
      <xdr:row>23</xdr:row>
      <xdr:rowOff>15238</xdr:rowOff>
    </xdr:from>
    <xdr:to>
      <xdr:col>10</xdr:col>
      <xdr:colOff>346934</xdr:colOff>
      <xdr:row>32</xdr:row>
      <xdr:rowOff>30480</xdr:rowOff>
    </xdr:to>
    <mc:AlternateContent xmlns:mc="http://schemas.openxmlformats.org/markup-compatibility/2006">
      <mc:Choice xmlns:a14="http://schemas.microsoft.com/office/drawing/2010/main" Requires="a14">
        <xdr:graphicFrame macro="">
          <xdr:nvGraphicFramePr>
            <xdr:cNvPr id="6" name="City 2">
              <a:extLst>
                <a:ext uri="{FF2B5EF4-FFF2-40B4-BE49-F238E27FC236}">
                  <a16:creationId xmlns:a16="http://schemas.microsoft.com/office/drawing/2014/main" id="{B6519C0A-6F78-40D1-94CA-EC96D7A668B1}"/>
                </a:ext>
              </a:extLst>
            </xdr:cNvPr>
            <xdr:cNvGraphicFramePr/>
          </xdr:nvGraphicFramePr>
          <xdr:xfrm>
            <a:off x="0" y="0"/>
            <a:ext cx="0" cy="0"/>
          </xdr:xfrm>
          <a:graphic>
            <a:graphicData uri="http://schemas.microsoft.com/office/drawing/2010/slicer">
              <sle:slicer xmlns:sle="http://schemas.microsoft.com/office/drawing/2010/slicer" name="City 2"/>
            </a:graphicData>
          </a:graphic>
        </xdr:graphicFrame>
      </mc:Choice>
      <mc:Fallback>
        <xdr:sp macro="" textlink="">
          <xdr:nvSpPr>
            <xdr:cNvPr id="0" name=""/>
            <xdr:cNvSpPr>
              <a:spLocks noTextEdit="1"/>
            </xdr:cNvSpPr>
          </xdr:nvSpPr>
          <xdr:spPr>
            <a:xfrm>
              <a:off x="3758901" y="4290058"/>
              <a:ext cx="2821193" cy="16611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286871</xdr:colOff>
      <xdr:row>5</xdr:row>
      <xdr:rowOff>179294</xdr:rowOff>
    </xdr:from>
    <xdr:to>
      <xdr:col>3</xdr:col>
      <xdr:colOff>134471</xdr:colOff>
      <xdr:row>8</xdr:row>
      <xdr:rowOff>17929</xdr:rowOff>
    </xdr:to>
    <xdr:pic>
      <xdr:nvPicPr>
        <xdr:cNvPr id="10" name="Graphic 9" descr="Office worker">
          <a:extLst>
            <a:ext uri="{FF2B5EF4-FFF2-40B4-BE49-F238E27FC236}">
              <a16:creationId xmlns:a16="http://schemas.microsoft.com/office/drawing/2014/main" id="{9A2A2594-36AD-280D-80DB-E895C39705B4}"/>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506071" y="1102659"/>
          <a:ext cx="457200" cy="430305"/>
        </a:xfrm>
        <a:prstGeom prst="rect">
          <a:avLst/>
        </a:prstGeom>
      </xdr:spPr>
    </xdr:pic>
    <xdr:clientData/>
  </xdr:twoCellAnchor>
  <xdr:twoCellAnchor editAs="oneCell">
    <xdr:from>
      <xdr:col>6</xdr:col>
      <xdr:colOff>268942</xdr:colOff>
      <xdr:row>6</xdr:row>
      <xdr:rowOff>53790</xdr:rowOff>
    </xdr:from>
    <xdr:to>
      <xdr:col>7</xdr:col>
      <xdr:colOff>107576</xdr:colOff>
      <xdr:row>7</xdr:row>
      <xdr:rowOff>188260</xdr:rowOff>
    </xdr:to>
    <xdr:pic>
      <xdr:nvPicPr>
        <xdr:cNvPr id="12" name="Graphic 11" descr="Coins">
          <a:extLst>
            <a:ext uri="{FF2B5EF4-FFF2-40B4-BE49-F238E27FC236}">
              <a16:creationId xmlns:a16="http://schemas.microsoft.com/office/drawing/2014/main" id="{2B1DE0F6-4E42-784A-C41D-943CF4AA902F}"/>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061013" y="1174378"/>
          <a:ext cx="448234" cy="331694"/>
        </a:xfrm>
        <a:prstGeom prst="rect">
          <a:avLst/>
        </a:prstGeom>
      </xdr:spPr>
    </xdr:pic>
    <xdr:clientData/>
  </xdr:twoCellAnchor>
  <xdr:twoCellAnchor editAs="oneCell">
    <xdr:from>
      <xdr:col>11</xdr:col>
      <xdr:colOff>403411</xdr:colOff>
      <xdr:row>6</xdr:row>
      <xdr:rowOff>17930</xdr:rowOff>
    </xdr:from>
    <xdr:to>
      <xdr:col>12</xdr:col>
      <xdr:colOff>197223</xdr:colOff>
      <xdr:row>7</xdr:row>
      <xdr:rowOff>170330</xdr:rowOff>
    </xdr:to>
    <xdr:pic>
      <xdr:nvPicPr>
        <xdr:cNvPr id="14" name="Graphic 13" descr="Presentation with bar chart">
          <a:extLst>
            <a:ext uri="{FF2B5EF4-FFF2-40B4-BE49-F238E27FC236}">
              <a16:creationId xmlns:a16="http://schemas.microsoft.com/office/drawing/2014/main" id="{447658E4-C300-D371-813E-25BC51ED2756}"/>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7243482" y="1138518"/>
          <a:ext cx="403412" cy="349624"/>
        </a:xfrm>
        <a:prstGeom prst="rect">
          <a:avLst/>
        </a:prstGeom>
      </xdr:spPr>
    </xdr:pic>
    <xdr:clientData/>
  </xdr:twoCellAnchor>
  <xdr:twoCellAnchor editAs="oneCell">
    <xdr:from>
      <xdr:col>16</xdr:col>
      <xdr:colOff>421341</xdr:colOff>
      <xdr:row>6</xdr:row>
      <xdr:rowOff>26894</xdr:rowOff>
    </xdr:from>
    <xdr:to>
      <xdr:col>17</xdr:col>
      <xdr:colOff>233082</xdr:colOff>
      <xdr:row>8</xdr:row>
      <xdr:rowOff>1</xdr:rowOff>
    </xdr:to>
    <xdr:pic>
      <xdr:nvPicPr>
        <xdr:cNvPr id="16" name="Graphic 15" descr="Trophy">
          <a:extLst>
            <a:ext uri="{FF2B5EF4-FFF2-40B4-BE49-F238E27FC236}">
              <a16:creationId xmlns:a16="http://schemas.microsoft.com/office/drawing/2014/main" id="{50D74EB2-6198-2B96-99DB-1DEA54B3BBBD}"/>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0309412" y="1147482"/>
          <a:ext cx="421341" cy="367554"/>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33.152379976855" createdVersion="8" refreshedVersion="8" minRefreshableVersion="3" recordCount="10" xr:uid="{CE1874FD-57E8-4978-8127-A2B84D4830A0}">
  <cacheSource type="worksheet">
    <worksheetSource name="Table2"/>
  </cacheSource>
  <cacheFields count="4">
    <cacheField name="Employee" numFmtId="0">
      <sharedItems/>
    </cacheField>
    <cacheField name="Department" numFmtId="0">
      <sharedItems/>
    </cacheField>
    <cacheField name="City" numFmtId="0">
      <sharedItems containsBlank="1" count="4">
        <s v="Bangalore"/>
        <s v="Hyderabad"/>
        <s v="Chennai"/>
        <m u="1"/>
      </sharedItems>
    </cacheField>
    <cacheField name="Salary" numFmtId="0">
      <sharedItems containsSemiMixedTypes="0" containsString="0" containsNumber="1" containsInteger="1" minValue="5000" maxValue="55000"/>
    </cacheField>
  </cacheFields>
  <extLst>
    <ext xmlns:x14="http://schemas.microsoft.com/office/spreadsheetml/2009/9/main" uri="{725AE2AE-9491-48be-B2B4-4EB974FC3084}">
      <x14:pivotCacheDefinition pivotCacheId="194289803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DELL" refreshedDate="46233.152380208332" missingItemsLimit="0" createdVersion="8" refreshedVersion="8" minRefreshableVersion="3" recordCount="10" xr:uid="{F1E21194-A7D3-46FC-87CC-081E8ED47C81}">
  <cacheSource type="worksheet">
    <worksheetSource ref="B238:E248" sheet="Sheet1"/>
  </cacheSource>
  <cacheFields count="4">
    <cacheField name="Employee" numFmtId="0">
      <sharedItems/>
    </cacheField>
    <cacheField name="Department" numFmtId="0">
      <sharedItems/>
    </cacheField>
    <cacheField name="City" numFmtId="0">
      <sharedItems count="3">
        <s v="Bangalore"/>
        <s v="Hyderabad"/>
        <s v="Chennai"/>
      </sharedItems>
    </cacheField>
    <cacheField name="Salary" numFmtId="0">
      <sharedItems containsSemiMixedTypes="0" containsString="0" containsNumber="1" containsInteger="1" minValue="5000" maxValue="55000"/>
    </cacheField>
  </cacheFields>
  <extLst>
    <ext xmlns:x14="http://schemas.microsoft.com/office/spreadsheetml/2009/9/main" uri="{725AE2AE-9491-48be-B2B4-4EB974FC3084}">
      <x14:pivotCacheDefinition pivotCacheId="1886512966"/>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33.152381018517" createdVersion="8" refreshedVersion="8" minRefreshableVersion="3" recordCount="7" xr:uid="{D607CC4E-24BF-4CD6-84F7-C5224C61BD80}">
  <cacheSource type="worksheet">
    <worksheetSource ref="B132:D139" sheet="Sheet1"/>
  </cacheSource>
  <cacheFields count="3">
    <cacheField name="Employee" numFmtId="0">
      <sharedItems/>
    </cacheField>
    <cacheField name="Department" numFmtId="0">
      <sharedItems count="3">
        <s v="Sales"/>
        <s v="HR"/>
        <s v="IT"/>
      </sharedItems>
    </cacheField>
    <cacheField name="Sales" numFmtId="0">
      <sharedItems containsSemiMixedTypes="0" containsString="0" containsNumber="1" containsInteger="1" minValue="10000" maxValue="25000"/>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33.152382523149" createdVersion="8" refreshedVersion="8" minRefreshableVersion="3" recordCount="7" xr:uid="{7974DD84-F087-42F8-9F77-ACB054C8084C}">
  <cacheSource type="worksheet">
    <worksheetSource ref="B115:D122" sheet="Sheet1"/>
  </cacheSource>
  <cacheFields count="3">
    <cacheField name="Employee" numFmtId="0">
      <sharedItems/>
    </cacheField>
    <cacheField name="Department" numFmtId="0">
      <sharedItems count="3">
        <s v="Sales"/>
        <s v="HR"/>
        <s v="IT"/>
      </sharedItems>
    </cacheField>
    <cacheField name="Sales" numFmtId="0">
      <sharedItems containsSemiMixedTypes="0" containsString="0" containsNumber="1" containsInteger="1" minValue="10000" maxValue="25000"/>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44.750162615739" createdVersion="8" refreshedVersion="8" minRefreshableVersion="3" recordCount="6" xr:uid="{D4345552-8A3C-4410-B915-37281C413EB3}">
  <cacheSource type="worksheet">
    <worksheetSource ref="B306:K312" sheet="Sheet1"/>
  </cacheSource>
  <cacheFields count="10">
    <cacheField name="Emp ID" numFmtId="0">
      <sharedItems containsMixedTypes="1" containsNumber="1" containsInteger="1" minValue="102" maxValue="106"/>
    </cacheField>
    <cacheField name="Name" numFmtId="0">
      <sharedItems/>
    </cacheField>
    <cacheField name="Department" numFmtId="0">
      <sharedItems count="4">
        <s v="Sales"/>
        <s v="HR"/>
        <s v="IT"/>
        <s v="Finance"/>
      </sharedItems>
    </cacheField>
    <cacheField name="City" numFmtId="0">
      <sharedItems/>
    </cacheField>
    <cacheField name="Salary" numFmtId="0">
      <sharedItems containsMixedTypes="1" containsNumber="1" containsInteger="1" minValue="30000" maxValue="75000" count="6">
        <s v="35000"/>
        <n v="42000"/>
        <n v="65000"/>
        <n v="52000"/>
        <n v="30000"/>
        <n v="75000"/>
      </sharedItems>
    </cacheField>
    <cacheField name="Attendance" numFmtId="0">
      <sharedItems containsMixedTypes="1" containsNumber="1" containsInteger="1" minValue="82" maxValue="97"/>
    </cacheField>
    <cacheField name="Joining Date" numFmtId="15">
      <sharedItems containsDate="1" containsMixedTypes="1" minDate="2020-04-14T00:00:00" maxDate="2025-02-11T00:00:00"/>
    </cacheField>
    <cacheField name="Task 8" numFmtId="0">
      <sharedItems/>
    </cacheField>
    <cacheField name="Task 9" numFmtId="0">
      <sharedItems containsBlank="1" containsMixedTypes="1" containsNumber="1" containsInteger="1" minValue="19" maxValue="56"/>
    </cacheField>
    <cacheField name="Task 10" numFmtId="172">
      <sharedItems containsDate="1" containsBlank="1" containsMixedTypes="1" minDate="2025-02-05T00:00:00" maxDate="2026-08-10T00:00:00"/>
    </cacheField>
  </cacheFields>
  <extLst>
    <ext xmlns:x14="http://schemas.microsoft.com/office/spreadsheetml/2009/9/main" uri="{725AE2AE-9491-48be-B2B4-4EB974FC3084}">
      <x14:pivotCacheDefinition pivotCacheId="471431508"/>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49.297997222224" createdVersion="8" refreshedVersion="8" minRefreshableVersion="3" recordCount="8" xr:uid="{B87D55E7-66A0-4D1C-8C1D-DDA4F40D6668}">
  <cacheSource type="worksheet">
    <worksheetSource name="Table7"/>
  </cacheSource>
  <cacheFields count="10">
    <cacheField name="Emp ID" numFmtId="0">
      <sharedItems containsSemiMixedTypes="0" containsString="0" containsNumber="1" containsInteger="1" minValue="101" maxValue="108"/>
    </cacheField>
    <cacheField name="Name" numFmtId="0">
      <sharedItems/>
    </cacheField>
    <cacheField name="Department" numFmtId="0">
      <sharedItems count="4">
        <s v="Sales"/>
        <s v="HR"/>
        <s v="IT"/>
        <s v="Finance"/>
      </sharedItems>
    </cacheField>
    <cacheField name="City" numFmtId="0">
      <sharedItems/>
    </cacheField>
    <cacheField name="Salary" numFmtId="0">
      <sharedItems containsSemiMixedTypes="0" containsString="0" containsNumber="1" containsInteger="1" minValue="30000" maxValue="75000"/>
    </cacheField>
    <cacheField name="Attendance" numFmtId="0">
      <sharedItems containsSemiMixedTypes="0" containsString="0" containsNumber="1" containsInteger="1" minValue="82" maxValue="97"/>
    </cacheField>
    <cacheField name="Joining Date" numFmtId="15">
      <sharedItems containsSemiMixedTypes="0" containsNonDate="0" containsDate="1" containsString="0" minDate="2012-06-05T00:00:00" maxDate="2024-12-26T00:00:00"/>
    </cacheField>
    <cacheField name="Email" numFmtId="0">
      <sharedItems/>
    </cacheField>
    <cacheField name="Experience" numFmtId="0">
      <sharedItems containsSemiMixedTypes="0" containsString="0" containsNumber="1" containsInteger="1" minValue="1" maxValue="14"/>
    </cacheField>
    <cacheField name="status" numFmtId="0">
      <sharedItems/>
    </cacheField>
  </cacheFields>
  <extLst>
    <ext xmlns:x14="http://schemas.microsoft.com/office/spreadsheetml/2009/9/main" uri="{725AE2AE-9491-48be-B2B4-4EB974FC3084}">
      <x14:pivotCacheDefinition pivotCacheId="812400594"/>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50.740941898148" createdVersion="8" refreshedVersion="8" minRefreshableVersion="3" recordCount="8" xr:uid="{75EA1DDC-4B3E-4B54-8EC6-23CD7F04C86B}">
  <cacheSource type="worksheet">
    <worksheetSource name="Table9"/>
  </cacheSource>
  <cacheFields count="5">
    <cacheField name="Emp ID" numFmtId="0">
      <sharedItems containsSemiMixedTypes="0" containsString="0" containsNumber="1" containsInteger="1" minValue="101" maxValue="108" count="8">
        <n v="101"/>
        <n v="102"/>
        <n v="103"/>
        <n v="104"/>
        <n v="105"/>
        <n v="106"/>
        <n v="107"/>
        <n v="108"/>
      </sharedItems>
    </cacheField>
    <cacheField name="Name" numFmtId="0">
      <sharedItems/>
    </cacheField>
    <cacheField name="Department" numFmtId="0">
      <sharedItems count="4">
        <s v="Sales"/>
        <s v="HR"/>
        <s v="IT"/>
        <s v="Finance"/>
      </sharedItems>
    </cacheField>
    <cacheField name="City" numFmtId="0">
      <sharedItems count="5">
        <s v="Delhi"/>
        <s v="Bangalore"/>
        <s v="Hyderabad"/>
        <s v="Chennai"/>
        <s v="Mumbai"/>
      </sharedItems>
    </cacheField>
    <cacheField name="Salary" numFmtId="0">
      <sharedItems containsSemiMixedTypes="0" containsString="0" containsNumber="1" containsInteger="1" minValue="30000" maxValue="75000"/>
    </cacheField>
  </cacheFields>
  <extLst>
    <ext xmlns:x14="http://schemas.microsoft.com/office/spreadsheetml/2009/9/main" uri="{725AE2AE-9491-48be-B2B4-4EB974FC3084}">
      <x14:pivotCacheDefinition pivotCacheId="131636375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51.414553935188" createdVersion="8" refreshedVersion="8" minRefreshableVersion="3" recordCount="10" xr:uid="{FC79821D-7ADF-4098-97EC-27CAE1F4DEDB}">
  <cacheSource type="worksheet">
    <worksheetSource name="Table10"/>
  </cacheSource>
  <cacheFields count="9">
    <cacheField name="Order ID" numFmtId="0">
      <sharedItems containsSemiMixedTypes="0" containsString="0" containsNumber="1" containsInteger="1" minValue="1001" maxValue="1010"/>
    </cacheField>
    <cacheField name="Date" numFmtId="15">
      <sharedItems containsSemiMixedTypes="0" containsNonDate="0" containsDate="1" containsString="0" minDate="2026-01-05T00:00:00" maxDate="2026-02-06T00:00:00" count="10">
        <d v="2026-01-05T00:00:00"/>
        <d v="2026-01-08T00:00:00"/>
        <d v="2026-01-10T00:00:00"/>
        <d v="2026-01-15T00:00:00"/>
        <d v="2026-01-18T00:00:00"/>
        <d v="2026-01-20T00:00:00"/>
        <d v="2026-01-25T00:00:00"/>
        <d v="2026-01-30T00:00:00"/>
        <d v="2026-02-02T00:00:00"/>
        <d v="2026-02-05T00:00:00"/>
      </sharedItems>
      <fieldGroup par="8"/>
    </cacheField>
    <cacheField name="Salesperson" numFmtId="0">
      <sharedItems count="5">
        <s v="Amit"/>
        <s v="Rahul"/>
        <s v="Neha"/>
        <s v="Priya"/>
        <s v="Simran"/>
      </sharedItems>
    </cacheField>
    <cacheField name="Region" numFmtId="0">
      <sharedItems count="4">
        <s v="North"/>
        <s v="South"/>
        <s v="East"/>
        <s v="West"/>
      </sharedItems>
    </cacheField>
    <cacheField name="Product" numFmtId="0">
      <sharedItems count="4">
        <s v="Laptop"/>
        <s v="Mouse"/>
        <s v="Keyboard"/>
        <s v="Monitor"/>
      </sharedItems>
    </cacheField>
    <cacheField name="Quantity" numFmtId="0">
      <sharedItems containsSemiMixedTypes="0" containsString="0" containsNumber="1" containsInteger="1" minValue="1" maxValue="10"/>
    </cacheField>
    <cacheField name="Sales" numFmtId="0">
      <sharedItems containsSemiMixedTypes="0" containsString="0" containsNumber="1" containsInteger="1" minValue="12000" maxValue="120000"/>
    </cacheField>
    <cacheField name="Days (Date)" numFmtId="0" databaseField="0">
      <fieldGroup base="1">
        <rangePr groupBy="days" startDate="2026-01-05T00:00:00" endDate="2026-02-06T00:00:00"/>
        <groupItems count="368">
          <s v="&lt;1/5/202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2/6/2026"/>
        </groupItems>
      </fieldGroup>
    </cacheField>
    <cacheField name="Months (Date)" numFmtId="0" databaseField="0">
      <fieldGroup base="1">
        <rangePr groupBy="months" startDate="2026-01-05T00:00:00" endDate="2026-02-06T00:00:00"/>
        <groupItems count="14">
          <s v="&lt;1/5/2026"/>
          <s v="Jan"/>
          <s v="Feb"/>
          <s v="Mar"/>
          <s v="Apr"/>
          <s v="May"/>
          <s v="Jun"/>
          <s v="Jul"/>
          <s v="Aug"/>
          <s v="Sep"/>
          <s v="Oct"/>
          <s v="Nov"/>
          <s v="Dec"/>
          <s v="&gt;2/6/2026"/>
        </groupItems>
      </fieldGroup>
    </cacheField>
  </cacheFields>
  <extLst>
    <ext xmlns:x14="http://schemas.microsoft.com/office/spreadsheetml/2009/9/main" uri="{725AE2AE-9491-48be-B2B4-4EB974FC3084}">
      <x14:pivotCacheDefinition pivotCacheId="10950769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s v="Amit"/>
    <s v="Sales"/>
    <x v="0"/>
    <n v="35000"/>
  </r>
  <r>
    <s v="Neha"/>
    <s v="HR"/>
    <x v="0"/>
    <n v="40000"/>
  </r>
  <r>
    <s v="Rahul"/>
    <s v="IT"/>
    <x v="1"/>
    <n v="45000"/>
  </r>
  <r>
    <s v="Priya"/>
    <s v="Sales"/>
    <x v="0"/>
    <n v="50000"/>
  </r>
  <r>
    <s v="Karan"/>
    <s v="HR"/>
    <x v="2"/>
    <n v="30000"/>
  </r>
  <r>
    <s v="Simran"/>
    <s v="IT"/>
    <x v="1"/>
    <n v="55000"/>
  </r>
  <r>
    <s v="Mohit"/>
    <s v="Sales"/>
    <x v="0"/>
    <n v="20000"/>
  </r>
  <r>
    <s v="rohit"/>
    <s v="IT"/>
    <x v="1"/>
    <n v="55000"/>
  </r>
  <r>
    <s v="johit"/>
    <s v="Sales"/>
    <x v="0"/>
    <n v="5000"/>
  </r>
  <r>
    <s v="mohn"/>
    <s v="IT"/>
    <x v="1"/>
    <n v="5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s v="Amit"/>
    <s v="Sales"/>
    <x v="0"/>
    <n v="35000"/>
  </r>
  <r>
    <s v="Neha"/>
    <s v="HR"/>
    <x v="0"/>
    <n v="40000"/>
  </r>
  <r>
    <s v="Rahul"/>
    <s v="IT"/>
    <x v="1"/>
    <n v="45000"/>
  </r>
  <r>
    <s v="Priya"/>
    <s v="Sales"/>
    <x v="0"/>
    <n v="50000"/>
  </r>
  <r>
    <s v="Karan"/>
    <s v="HR"/>
    <x v="2"/>
    <n v="30000"/>
  </r>
  <r>
    <s v="Simran"/>
    <s v="IT"/>
    <x v="1"/>
    <n v="55000"/>
  </r>
  <r>
    <s v="Mohit"/>
    <s v="Sales"/>
    <x v="0"/>
    <n v="20000"/>
  </r>
  <r>
    <s v="rohit"/>
    <s v="IT"/>
    <x v="1"/>
    <n v="55000"/>
  </r>
  <r>
    <s v="johit"/>
    <s v="Sales"/>
    <x v="0"/>
    <n v="5000"/>
  </r>
  <r>
    <s v="mohn"/>
    <s v="IT"/>
    <x v="1"/>
    <n v="500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s v="Aman"/>
    <x v="0"/>
    <n v="10000"/>
  </r>
  <r>
    <s v="Ravi"/>
    <x v="1"/>
    <n v="15000"/>
  </r>
  <r>
    <s v="Simran"/>
    <x v="2"/>
    <n v="20000"/>
  </r>
  <r>
    <s v="Aman"/>
    <x v="0"/>
    <n v="12000"/>
  </r>
  <r>
    <s v="Ravi"/>
    <x v="1"/>
    <n v="18000"/>
  </r>
  <r>
    <s v="Simran"/>
    <x v="2"/>
    <n v="25000"/>
  </r>
  <r>
    <s v="Aman"/>
    <x v="0"/>
    <n v="1500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s v="Aman"/>
    <x v="0"/>
    <n v="10000"/>
  </r>
  <r>
    <s v="Ravi"/>
    <x v="1"/>
    <n v="15000"/>
  </r>
  <r>
    <s v="Simran"/>
    <x v="2"/>
    <n v="20000"/>
  </r>
  <r>
    <s v="Aman"/>
    <x v="0"/>
    <n v="12000"/>
  </r>
  <r>
    <s v="Ravi"/>
    <x v="1"/>
    <n v="18000"/>
  </r>
  <r>
    <s v="Simran"/>
    <x v="2"/>
    <n v="25000"/>
  </r>
  <r>
    <s v="Aman"/>
    <x v="0"/>
    <n v="1500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s v="101"/>
    <s v="Amit"/>
    <x v="0"/>
    <s v="Bangalore"/>
    <x v="0"/>
    <s v="95"/>
    <s v="12-Jan-24"/>
    <s v="Sales2"/>
    <s v="18"/>
    <s v="08 January 2026"/>
  </r>
  <r>
    <n v="102"/>
    <s v="Neha"/>
    <x v="1"/>
    <s v="Bangalore"/>
    <x v="1"/>
    <n v="82"/>
    <d v="2023-03-18T00:00:00"/>
    <s v="HR"/>
    <n v="19"/>
    <d v="2025-02-05T00:00:00"/>
  </r>
  <r>
    <n v="103"/>
    <s v="Rahul"/>
    <x v="2"/>
    <s v="Hyderabad"/>
    <x v="2"/>
    <n v="91"/>
    <d v="2022-06-05T00:00:00"/>
    <s v="IT"/>
    <n v="20"/>
    <d v="2026-03-07T00:00:00"/>
  </r>
  <r>
    <n v="104"/>
    <s v="Priya"/>
    <x v="0"/>
    <s v="Bangalore"/>
    <x v="3"/>
    <n v="88"/>
    <d v="2025-02-10T00:00:00"/>
    <s v="Finance"/>
    <n v="23"/>
    <d v="2026-07-08T00:00:00"/>
  </r>
  <r>
    <n v="105"/>
    <s v="Karan"/>
    <x v="3"/>
    <s v="Chennai"/>
    <x v="4"/>
    <n v="97"/>
    <d v="2021-08-22T00:00:00"/>
    <s v="Sales"/>
    <n v="56"/>
    <d v="2026-08-09T00:00:00"/>
  </r>
  <r>
    <n v="106"/>
    <s v="Simran"/>
    <x v="2"/>
    <s v="Hyderabad"/>
    <x v="5"/>
    <n v="85"/>
    <d v="2020-04-14T00:00:00"/>
    <s v="IT"/>
    <m/>
    <m/>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n v="101"/>
    <s v="Amit"/>
    <x v="0"/>
    <s v="Bangalore"/>
    <n v="35000"/>
    <n v="95"/>
    <d v="2020-01-12T00:00:00"/>
    <s v="AMIT@company.COM"/>
    <n v="6"/>
    <s v="Promotion Eligible"/>
  </r>
  <r>
    <n v="102"/>
    <s v="Neha"/>
    <x v="1"/>
    <s v="Bangalore"/>
    <n v="42000"/>
    <n v="82"/>
    <d v="2023-03-18T00:00:00"/>
    <s v="NEHA@Company.com"/>
    <n v="3"/>
    <s v="Not Eligible"/>
  </r>
  <r>
    <n v="103"/>
    <s v="Rahul"/>
    <x v="2"/>
    <s v="Hyderabad"/>
    <n v="65000"/>
    <n v="91"/>
    <d v="2012-06-05T00:00:00"/>
    <s v="rahul@COMPANY.com"/>
    <n v="14"/>
    <s v="Senior Promotion"/>
  </r>
  <r>
    <n v="104"/>
    <s v="Priya"/>
    <x v="0"/>
    <s v="Bangalore"/>
    <n v="52000"/>
    <n v="88"/>
    <d v="2015-02-10T00:00:00"/>
    <s v="PRIYA@company.com"/>
    <n v="11"/>
    <s v="Senior Promotion"/>
  </r>
  <r>
    <n v="105"/>
    <s v="Karan"/>
    <x v="3"/>
    <s v="Chennai"/>
    <n v="30000"/>
    <n v="97"/>
    <d v="2021-08-22T00:00:00"/>
    <s v="karan@Company.com"/>
    <n v="4"/>
    <s v="Not Eligible"/>
  </r>
  <r>
    <n v="106"/>
    <s v="Simran"/>
    <x v="2"/>
    <s v="Hyderabad"/>
    <n v="75000"/>
    <n v="85"/>
    <d v="2020-04-14T00:00:00"/>
    <s v="SIMRAN@company.COM"/>
    <n v="6"/>
    <s v="Promotion Eligible"/>
  </r>
  <r>
    <n v="107"/>
    <s v="Mohit"/>
    <x v="0"/>
    <s v="Delhi"/>
    <n v="48000"/>
    <n v="93"/>
    <d v="2019-07-01T00:00:00"/>
    <s v="MOHIT@company.COM"/>
    <n v="7"/>
    <s v="Promotion Eligible"/>
  </r>
  <r>
    <n v="108"/>
    <s v="Riya"/>
    <x v="1"/>
    <s v="Delhi"/>
    <n v="39000"/>
    <n v="89"/>
    <d v="2024-12-25T00:00:00"/>
    <s v="riya@Company.com"/>
    <n v="1"/>
    <s v="Not Eligible"/>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x v="0"/>
    <s v="Amit"/>
    <x v="0"/>
    <x v="0"/>
    <n v="35000"/>
  </r>
  <r>
    <x v="1"/>
    <s v="Neha"/>
    <x v="1"/>
    <x v="1"/>
    <n v="42000"/>
  </r>
  <r>
    <x v="2"/>
    <s v="Rahul"/>
    <x v="2"/>
    <x v="2"/>
    <n v="65000"/>
  </r>
  <r>
    <x v="3"/>
    <s v="Priya"/>
    <x v="0"/>
    <x v="0"/>
    <n v="52000"/>
  </r>
  <r>
    <x v="4"/>
    <s v="Simran"/>
    <x v="2"/>
    <x v="2"/>
    <n v="75000"/>
  </r>
  <r>
    <x v="5"/>
    <s v="Mohit"/>
    <x v="1"/>
    <x v="1"/>
    <n v="39000"/>
  </r>
  <r>
    <x v="6"/>
    <s v="Karan"/>
    <x v="3"/>
    <x v="3"/>
    <n v="30000"/>
  </r>
  <r>
    <x v="7"/>
    <s v="Riya"/>
    <x v="0"/>
    <x v="4"/>
    <n v="48000"/>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n v="1001"/>
    <x v="0"/>
    <x v="0"/>
    <x v="0"/>
    <x v="0"/>
    <n v="2"/>
    <n v="120000"/>
  </r>
  <r>
    <n v="1002"/>
    <x v="1"/>
    <x v="1"/>
    <x v="1"/>
    <x v="1"/>
    <n v="10"/>
    <n v="15000"/>
  </r>
  <r>
    <n v="1003"/>
    <x v="2"/>
    <x v="2"/>
    <x v="2"/>
    <x v="2"/>
    <n v="5"/>
    <n v="20000"/>
  </r>
  <r>
    <n v="1004"/>
    <x v="3"/>
    <x v="3"/>
    <x v="3"/>
    <x v="0"/>
    <n v="1"/>
    <n v="60000"/>
  </r>
  <r>
    <n v="1005"/>
    <x v="4"/>
    <x v="4"/>
    <x v="0"/>
    <x v="3"/>
    <n v="3"/>
    <n v="45000"/>
  </r>
  <r>
    <n v="1006"/>
    <x v="5"/>
    <x v="0"/>
    <x v="2"/>
    <x v="0"/>
    <n v="2"/>
    <n v="120000"/>
  </r>
  <r>
    <n v="1007"/>
    <x v="6"/>
    <x v="1"/>
    <x v="1"/>
    <x v="3"/>
    <n v="4"/>
    <n v="60000"/>
  </r>
  <r>
    <n v="1008"/>
    <x v="7"/>
    <x v="2"/>
    <x v="3"/>
    <x v="1"/>
    <n v="8"/>
    <n v="12000"/>
  </r>
  <r>
    <n v="1009"/>
    <x v="8"/>
    <x v="3"/>
    <x v="0"/>
    <x v="2"/>
    <n v="6"/>
    <n v="24000"/>
  </r>
  <r>
    <n v="1010"/>
    <x v="9"/>
    <x v="4"/>
    <x v="2"/>
    <x v="0"/>
    <n v="1"/>
    <n v="6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D388D61-DAAE-4EA5-AD60-F97137641E4C}" name="PivotTable21" cacheId="28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478:F483" firstHeaderRow="1" firstDataRow="1" firstDataCol="1"/>
  <pivotFields count="9">
    <pivotField showAll="0"/>
    <pivotField numFmtId="15" showAll="0">
      <items count="11">
        <item x="0"/>
        <item x="1"/>
        <item x="2"/>
        <item x="3"/>
        <item x="4"/>
        <item x="5"/>
        <item x="6"/>
        <item x="7"/>
        <item x="8"/>
        <item x="9"/>
        <item t="default"/>
      </items>
    </pivotField>
    <pivotField showAll="0"/>
    <pivotField showAll="0">
      <items count="5">
        <item x="2"/>
        <item x="0"/>
        <item x="1"/>
        <item x="3"/>
        <item t="default"/>
      </items>
    </pivotField>
    <pivotField axis="axisRow" showAll="0">
      <items count="5">
        <item x="2"/>
        <item x="0"/>
        <item x="3"/>
        <item x="1"/>
        <item t="default"/>
      </items>
    </pivotField>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5">
    <i>
      <x/>
    </i>
    <i>
      <x v="1"/>
    </i>
    <i>
      <x v="2"/>
    </i>
    <i>
      <x v="3"/>
    </i>
    <i t="grand">
      <x/>
    </i>
  </rowItems>
  <colItems count="1">
    <i/>
  </colItems>
  <dataFields count="1">
    <dataField name="Sum of Sales" fld="6" baseField="0" baseItem="0"/>
  </dataFields>
  <chartFormats count="5">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4" count="1" selected="0">
            <x v="0"/>
          </reference>
        </references>
      </pivotArea>
    </chartFormat>
    <chartFormat chart="4" format="12">
      <pivotArea type="data" outline="0" fieldPosition="0">
        <references count="2">
          <reference field="4294967294" count="1" selected="0">
            <x v="0"/>
          </reference>
          <reference field="4" count="1" selected="0">
            <x v="1"/>
          </reference>
        </references>
      </pivotArea>
    </chartFormat>
    <chartFormat chart="4" format="13">
      <pivotArea type="data" outline="0" fieldPosition="0">
        <references count="2">
          <reference field="4294967294" count="1" selected="0">
            <x v="0"/>
          </reference>
          <reference field="4" count="1" selected="0">
            <x v="2"/>
          </reference>
        </references>
      </pivotArea>
    </chartFormat>
    <chartFormat chart="4" format="1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B0BAA72-7D61-4340-B7ED-D73C86FD0FD7}" name="PivotTable20" cacheId="28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H468:I471" firstHeaderRow="1" firstDataRow="1" firstDataCol="1"/>
  <pivotFields count="9">
    <pivotField showAll="0"/>
    <pivotField numFmtId="15" showAll="0">
      <items count="11">
        <item x="0"/>
        <item x="1"/>
        <item x="2"/>
        <item x="3"/>
        <item x="4"/>
        <item x="5"/>
        <item x="6"/>
        <item x="7"/>
        <item x="8"/>
        <item x="9"/>
        <item t="default"/>
      </items>
    </pivotField>
    <pivotField showAll="0"/>
    <pivotField showAll="0">
      <items count="5">
        <item x="2"/>
        <item x="0"/>
        <item x="1"/>
        <item x="3"/>
        <item t="default"/>
      </items>
    </pivotField>
    <pivotField showAll="0">
      <items count="5">
        <item x="2"/>
        <item x="0"/>
        <item x="3"/>
        <item x="1"/>
        <item t="default"/>
      </items>
    </pivotField>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8"/>
  </rowFields>
  <rowItems count="3">
    <i>
      <x v="1"/>
    </i>
    <i>
      <x v="2"/>
    </i>
    <i t="grand">
      <x/>
    </i>
  </rowItems>
  <colItems count="1">
    <i/>
  </colItems>
  <dataFields count="1">
    <dataField name="Sum of Sales" fld="6" baseField="0" baseItem="0"/>
  </dataFields>
  <chartFormats count="3">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8" count="1" selected="0">
            <x v="1"/>
          </reference>
        </references>
      </pivotArea>
    </chartFormat>
    <chartFormat chart="6" format="8">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9DC2594-6D31-48B4-954E-3641F62CBEF0}" name="PivotTable18" cacheId="28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467:F473" firstHeaderRow="1" firstDataRow="1" firstDataCol="1"/>
  <pivotFields count="9">
    <pivotField showAll="0"/>
    <pivotField numFmtId="15" showAll="0">
      <items count="11">
        <item x="0"/>
        <item x="1"/>
        <item x="2"/>
        <item x="3"/>
        <item x="4"/>
        <item x="5"/>
        <item x="6"/>
        <item x="7"/>
        <item x="8"/>
        <item x="9"/>
        <item t="default"/>
      </items>
    </pivotField>
    <pivotField axis="axisRow" showAll="0">
      <items count="6">
        <item x="0"/>
        <item x="2"/>
        <item x="3"/>
        <item x="1"/>
        <item x="4"/>
        <item t="default"/>
      </items>
    </pivotField>
    <pivotField showAll="0">
      <items count="5">
        <item x="2"/>
        <item x="0"/>
        <item x="1"/>
        <item x="3"/>
        <item t="default"/>
      </items>
    </pivotField>
    <pivotField showAll="0">
      <items count="5">
        <item x="2"/>
        <item x="0"/>
        <item x="3"/>
        <item x="1"/>
        <item t="default"/>
      </items>
    </pivotField>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6">
    <i>
      <x/>
    </i>
    <i>
      <x v="1"/>
    </i>
    <i>
      <x v="2"/>
    </i>
    <i>
      <x v="3"/>
    </i>
    <i>
      <x v="4"/>
    </i>
    <i t="grand">
      <x/>
    </i>
  </rowItems>
  <colItems count="1">
    <i/>
  </colItems>
  <dataFields count="1">
    <dataField name="Sum of Sales" fld="6" baseField="0" baseItem="0"/>
  </dataFields>
  <formats count="6">
    <format dxfId="164">
      <pivotArea type="all" dataOnly="0" outline="0" fieldPosition="0"/>
    </format>
    <format dxfId="165">
      <pivotArea outline="0" collapsedLevelsAreSubtotals="1" fieldPosition="0"/>
    </format>
    <format dxfId="166">
      <pivotArea field="2" type="button" dataOnly="0" labelOnly="1" outline="0" axis="axisRow" fieldPosition="0"/>
    </format>
    <format dxfId="167">
      <pivotArea dataOnly="0" labelOnly="1" fieldPosition="0">
        <references count="1">
          <reference field="2" count="0"/>
        </references>
      </pivotArea>
    </format>
    <format dxfId="168">
      <pivotArea dataOnly="0" labelOnly="1" grandRow="1" outline="0" fieldPosition="0"/>
    </format>
    <format dxfId="169">
      <pivotArea dataOnly="0" labelOnly="1" outline="0" axis="axisValues"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22B81EB-D81E-4122-87A2-E2CB8937AA33}" name="PivotTable17" cacheId="28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467:C472" firstHeaderRow="1" firstDataRow="1" firstDataCol="1"/>
  <pivotFields count="9">
    <pivotField showAll="0"/>
    <pivotField numFmtId="15" showAll="0">
      <items count="11">
        <item x="0"/>
        <item x="1"/>
        <item x="2"/>
        <item x="3"/>
        <item x="4"/>
        <item x="5"/>
        <item x="6"/>
        <item x="7"/>
        <item x="8"/>
        <item x="9"/>
        <item t="default"/>
      </items>
    </pivotField>
    <pivotField showAll="0"/>
    <pivotField axis="axisRow" showAll="0">
      <items count="5">
        <item x="2"/>
        <item x="0"/>
        <item x="1"/>
        <item x="3"/>
        <item t="default"/>
      </items>
    </pivotField>
    <pivotField showAll="0">
      <items count="5">
        <item x="2"/>
        <item x="0"/>
        <item x="3"/>
        <item x="1"/>
        <item t="default"/>
      </items>
    </pivotField>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Sum of Sales" fld="6" baseField="0" baseItem="0"/>
  </dataFields>
  <formats count="6">
    <format dxfId="158">
      <pivotArea type="all" dataOnly="0" outline="0" fieldPosition="0"/>
    </format>
    <format dxfId="159">
      <pivotArea outline="0" collapsedLevelsAreSubtotals="1" fieldPosition="0"/>
    </format>
    <format dxfId="160">
      <pivotArea field="3" type="button" dataOnly="0" labelOnly="1" outline="0" axis="axisRow" fieldPosition="0"/>
    </format>
    <format dxfId="161">
      <pivotArea dataOnly="0" labelOnly="1" fieldPosition="0">
        <references count="1">
          <reference field="3" count="0"/>
        </references>
      </pivotArea>
    </format>
    <format dxfId="162">
      <pivotArea dataOnly="0" labelOnly="1" grandRow="1" outline="0" fieldPosition="0"/>
    </format>
    <format dxfId="163">
      <pivotArea dataOnly="0" labelOnly="1" outline="0" axis="axisValues"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1E22314-4236-4EB7-9393-99D88E55C58F}" name="employee by depatment" cacheId="27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I443:J448" firstHeaderRow="1" firstDataRow="1" firstDataCol="1"/>
  <pivotFields count="5">
    <pivotField dataField="1" showAll="0"/>
    <pivotField showAll="0"/>
    <pivotField axis="axisRow" showAll="0" sortType="ascending">
      <items count="5">
        <item x="3"/>
        <item x="1"/>
        <item x="2"/>
        <item x="0"/>
        <item t="default"/>
      </items>
      <autoSortScope>
        <pivotArea dataOnly="0" outline="0" fieldPosition="0">
          <references count="1">
            <reference field="4294967294" count="1" selected="0">
              <x v="0"/>
            </reference>
          </references>
        </pivotArea>
      </autoSortScope>
    </pivotField>
    <pivotField showAll="0">
      <items count="6">
        <item x="1"/>
        <item x="3"/>
        <item x="0"/>
        <item x="2"/>
        <item x="4"/>
        <item t="default"/>
      </items>
    </pivotField>
    <pivotField showAll="0"/>
  </pivotFields>
  <rowFields count="1">
    <field x="2"/>
  </rowFields>
  <rowItems count="5">
    <i>
      <x/>
    </i>
    <i>
      <x v="1"/>
    </i>
    <i>
      <x v="2"/>
    </i>
    <i>
      <x v="3"/>
    </i>
    <i t="grand">
      <x/>
    </i>
  </rowItems>
  <colItems count="1">
    <i/>
  </colItems>
  <dataFields count="1">
    <dataField name="Count of Emp ID" fld="0" subtotal="count" baseField="2" baseItem="0"/>
  </dataFields>
  <formats count="6">
    <format dxfId="186">
      <pivotArea type="all" dataOnly="0" outline="0" fieldPosition="0"/>
    </format>
    <format dxfId="187">
      <pivotArea outline="0" collapsedLevelsAreSubtotals="1" fieldPosition="0"/>
    </format>
    <format dxfId="188">
      <pivotArea field="2" type="button" dataOnly="0" labelOnly="1" outline="0" axis="axisRow" fieldPosition="0"/>
    </format>
    <format dxfId="189">
      <pivotArea dataOnly="0" labelOnly="1" fieldPosition="0">
        <references count="1">
          <reference field="2" count="0"/>
        </references>
      </pivotArea>
    </format>
    <format dxfId="190">
      <pivotArea dataOnly="0" labelOnly="1" grandRow="1" outline="0" fieldPosition="0"/>
    </format>
    <format dxfId="191">
      <pivotArea dataOnly="0" labelOnly="1" outline="0" axis="axisValues" fieldPosition="0"/>
    </format>
  </formats>
  <chartFormats count="3">
    <chartFormat chart="3" format="3" series="1">
      <pivotArea type="data" outline="0" fieldPosition="0">
        <references count="1">
          <reference field="4294967294" count="1" selected="0">
            <x v="0"/>
          </reference>
        </references>
      </pivotArea>
    </chartFormat>
    <chartFormat chart="3" format="4">
      <pivotArea type="data" outline="0" fieldPosition="0">
        <references count="2">
          <reference field="4294967294" count="1" selected="0">
            <x v="0"/>
          </reference>
          <reference field="2" count="1" selected="0">
            <x v="3"/>
          </reference>
        </references>
      </pivotArea>
    </chartFormat>
    <chartFormat chart="3" format="5">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8A5DA84-159B-49A0-A008-8670CB15E2F4}" name="Employee by City" cacheId="27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F442:G448" firstHeaderRow="1" firstDataRow="1" firstDataCol="1"/>
  <pivotFields count="5">
    <pivotField dataField="1" showAll="0">
      <items count="9">
        <item x="0"/>
        <item x="1"/>
        <item x="2"/>
        <item x="3"/>
        <item x="4"/>
        <item x="5"/>
        <item x="6"/>
        <item x="7"/>
        <item t="default"/>
      </items>
    </pivotField>
    <pivotField showAll="0"/>
    <pivotField showAll="0">
      <items count="5">
        <item x="3"/>
        <item x="1"/>
        <item x="2"/>
        <item x="0"/>
        <item t="default"/>
      </items>
    </pivotField>
    <pivotField axis="axisRow" showAll="0">
      <items count="6">
        <item x="1"/>
        <item x="3"/>
        <item x="0"/>
        <item x="2"/>
        <item x="4"/>
        <item t="default"/>
      </items>
    </pivotField>
    <pivotField showAll="0"/>
  </pivotFields>
  <rowFields count="1">
    <field x="3"/>
  </rowFields>
  <rowItems count="6">
    <i>
      <x/>
    </i>
    <i>
      <x v="1"/>
    </i>
    <i>
      <x v="2"/>
    </i>
    <i>
      <x v="3"/>
    </i>
    <i>
      <x v="4"/>
    </i>
    <i t="grand">
      <x/>
    </i>
  </rowItems>
  <colItems count="1">
    <i/>
  </colItems>
  <dataFields count="1">
    <dataField name="Count of Emp ID" fld="0" subtotal="count" baseField="3" baseItem="0"/>
  </dataFields>
  <formats count="6">
    <format dxfId="197">
      <pivotArea type="all" dataOnly="0" outline="0" fieldPosition="0"/>
    </format>
    <format dxfId="196">
      <pivotArea outline="0" collapsedLevelsAreSubtotals="1" fieldPosition="0"/>
    </format>
    <format dxfId="195">
      <pivotArea field="3" type="button" dataOnly="0" labelOnly="1" outline="0" axis="axisRow" fieldPosition="0"/>
    </format>
    <format dxfId="194">
      <pivotArea dataOnly="0" labelOnly="1" fieldPosition="0">
        <references count="1">
          <reference field="3" count="0"/>
        </references>
      </pivotArea>
    </format>
    <format dxfId="193">
      <pivotArea dataOnly="0" labelOnly="1" grandRow="1" outline="0" fieldPosition="0"/>
    </format>
    <format dxfId="192">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1D9AF44-2767-41CD-94A8-C026A37CD3DA}" name="Department Salary" cacheId="27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C443:D448" firstHeaderRow="1" firstDataRow="1" firstDataCol="1"/>
  <pivotFields count="5">
    <pivotField showAll="0"/>
    <pivotField showAll="0"/>
    <pivotField axis="axisRow" showAll="0">
      <items count="5">
        <item x="3"/>
        <item x="1"/>
        <item x="2"/>
        <item x="0"/>
        <item t="default"/>
      </items>
    </pivotField>
    <pivotField showAll="0">
      <items count="6">
        <item x="1"/>
        <item x="3"/>
        <item x="0"/>
        <item x="2"/>
        <item x="4"/>
        <item t="default"/>
      </items>
    </pivotField>
    <pivotField dataField="1" showAll="0"/>
  </pivotFields>
  <rowFields count="1">
    <field x="2"/>
  </rowFields>
  <rowItems count="5">
    <i>
      <x/>
    </i>
    <i>
      <x v="1"/>
    </i>
    <i>
      <x v="2"/>
    </i>
    <i>
      <x v="3"/>
    </i>
    <i t="grand">
      <x/>
    </i>
  </rowItems>
  <colItems count="1">
    <i/>
  </colItems>
  <dataFields count="1">
    <dataField name="Sum of Salary" fld="4" baseField="0" baseItem="0"/>
  </dataFields>
  <formats count="6">
    <format dxfId="198">
      <pivotArea type="all" dataOnly="0" outline="0" fieldPosition="0"/>
    </format>
    <format dxfId="199">
      <pivotArea outline="0" collapsedLevelsAreSubtotals="1" fieldPosition="0"/>
    </format>
    <format dxfId="200">
      <pivotArea field="2" type="button" dataOnly="0" labelOnly="1" outline="0" axis="axisRow" fieldPosition="0"/>
    </format>
    <format dxfId="201">
      <pivotArea dataOnly="0" labelOnly="1" fieldPosition="0">
        <references count="1">
          <reference field="2" count="0"/>
        </references>
      </pivotArea>
    </format>
    <format dxfId="202">
      <pivotArea dataOnly="0" labelOnly="1" grandRow="1" outline="0" fieldPosition="0"/>
    </format>
    <format dxfId="203">
      <pivotArea dataOnly="0" labelOnly="1" outline="0" axis="axisValues" fieldPosition="0"/>
    </format>
  </formats>
  <chartFormats count="3">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2" count="1" selected="0">
            <x v="3"/>
          </reference>
        </references>
      </pivotArea>
    </chartFormat>
    <chartFormat chart="4" format="4">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C716086-5A1B-4704-857A-BD78168835D0}" name="PivotTable12" cacheId="2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G388:H390" firstHeaderRow="1" firstDataRow="1" firstDataCol="1"/>
  <pivotFields count="10">
    <pivotField showAll="0"/>
    <pivotField showAll="0"/>
    <pivotField axis="axisRow" showAll="0">
      <items count="5">
        <item h="1" x="3"/>
        <item x="1"/>
        <item h="1" x="2"/>
        <item h="1" x="0"/>
        <item t="default"/>
      </items>
    </pivotField>
    <pivotField showAll="0"/>
    <pivotField dataField="1" showAll="0"/>
    <pivotField showAll="0"/>
    <pivotField numFmtId="15" showAll="0"/>
    <pivotField showAll="0"/>
    <pivotField showAll="0"/>
    <pivotField showAll="0"/>
  </pivotFields>
  <rowFields count="1">
    <field x="2"/>
  </rowFields>
  <rowItems count="2">
    <i>
      <x v="1"/>
    </i>
    <i t="grand">
      <x/>
    </i>
  </rowItems>
  <colItems count="1">
    <i/>
  </colItems>
  <dataFields count="1">
    <dataField name="Sum of Salary" fld="4" baseField="0" baseItem="0"/>
  </dataFields>
  <formats count="6">
    <format dxfId="225">
      <pivotArea type="all" dataOnly="0" outline="0" fieldPosition="0"/>
    </format>
    <format dxfId="224">
      <pivotArea outline="0" collapsedLevelsAreSubtotals="1" fieldPosition="0"/>
    </format>
    <format dxfId="223">
      <pivotArea field="2" type="button" dataOnly="0" labelOnly="1" outline="0" axis="axisRow" fieldPosition="0"/>
    </format>
    <format dxfId="222">
      <pivotArea dataOnly="0" labelOnly="1" fieldPosition="0">
        <references count="1">
          <reference field="2" count="0"/>
        </references>
      </pivotArea>
    </format>
    <format dxfId="221">
      <pivotArea dataOnly="0" labelOnly="1" grandRow="1" outline="0" fieldPosition="0"/>
    </format>
    <format dxfId="220">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D94727F-728F-4443-8547-83811510540D}" name="PivotTable10" cacheId="2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M308:N313" firstHeaderRow="1" firstDataRow="1" firstDataCol="1"/>
  <pivotFields count="10">
    <pivotField showAll="0"/>
    <pivotField showAll="0"/>
    <pivotField axis="axisRow" showAll="0">
      <items count="5">
        <item x="3"/>
        <item x="1"/>
        <item x="2"/>
        <item x="0"/>
        <item t="default"/>
      </items>
    </pivotField>
    <pivotField showAll="0"/>
    <pivotField dataField="1" showAll="0">
      <items count="7">
        <item x="4"/>
        <item x="1"/>
        <item x="3"/>
        <item x="2"/>
        <item x="5"/>
        <item x="0"/>
        <item t="default"/>
      </items>
    </pivotField>
    <pivotField showAll="0"/>
    <pivotField showAll="0"/>
    <pivotField showAll="0"/>
    <pivotField showAll="0"/>
    <pivotField showAll="0"/>
  </pivotFields>
  <rowFields count="1">
    <field x="2"/>
  </rowFields>
  <rowItems count="5">
    <i>
      <x/>
    </i>
    <i>
      <x v="1"/>
    </i>
    <i>
      <x v="2"/>
    </i>
    <i>
      <x v="3"/>
    </i>
    <i t="grand">
      <x/>
    </i>
  </rowItems>
  <colItems count="1">
    <i/>
  </colItems>
  <dataFields count="1">
    <dataField name="Sum of Salary" fld="4" baseField="2" baseItem="0"/>
  </dataFields>
  <formats count="6">
    <format dxfId="259">
      <pivotArea type="all" dataOnly="0" outline="0" fieldPosition="0"/>
    </format>
    <format dxfId="260">
      <pivotArea outline="0" collapsedLevelsAreSubtotals="1" fieldPosition="0"/>
    </format>
    <format dxfId="261">
      <pivotArea field="2" type="button" dataOnly="0" labelOnly="1" outline="0" axis="axisRow" fieldPosition="0"/>
    </format>
    <format dxfId="262">
      <pivotArea dataOnly="0" labelOnly="1" fieldPosition="0">
        <references count="1">
          <reference field="2" count="0"/>
        </references>
      </pivotArea>
    </format>
    <format dxfId="263">
      <pivotArea dataOnly="0" labelOnly="1" grandRow="1" outline="0" fieldPosition="0"/>
    </format>
    <format dxfId="264">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211AE7E-55D7-4F68-8F5F-E2391DA6C170}" name="PivotTable6" cacheId="2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F257:G261" firstHeaderRow="1" firstDataRow="1" firstDataCol="1"/>
  <pivotFields count="4">
    <pivotField showAll="0"/>
    <pivotField showAll="0"/>
    <pivotField axis="axisRow" showAll="0">
      <items count="5">
        <item x="0"/>
        <item x="2"/>
        <item x="1"/>
        <item n="k" m="1" x="3"/>
        <item t="default"/>
      </items>
    </pivotField>
    <pivotField dataField="1" showAll="0"/>
  </pivotFields>
  <rowFields count="1">
    <field x="2"/>
  </rowFields>
  <rowItems count="4">
    <i>
      <x/>
    </i>
    <i>
      <x v="1"/>
    </i>
    <i>
      <x v="2"/>
    </i>
    <i t="grand">
      <x/>
    </i>
  </rowItems>
  <colItems count="1">
    <i/>
  </colItems>
  <dataFields count="1">
    <dataField name="Sum of Salary"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9B8ED1-3DFD-4992-952D-784758B3F348}" name="PivotTable1" cacheId="2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I241:J245" firstHeaderRow="1" firstDataRow="1" firstDataCol="1"/>
  <pivotFields count="4">
    <pivotField showAll="0"/>
    <pivotField showAll="0"/>
    <pivotField axis="axisRow" showAll="0">
      <items count="4">
        <item x="0"/>
        <item x="2"/>
        <item x="1"/>
        <item t="default"/>
      </items>
    </pivotField>
    <pivotField dataField="1" showAll="0"/>
  </pivotFields>
  <rowFields count="1">
    <field x="2"/>
  </rowFields>
  <rowItems count="4">
    <i>
      <x/>
    </i>
    <i>
      <x v="1"/>
    </i>
    <i>
      <x v="2"/>
    </i>
    <i t="grand">
      <x/>
    </i>
  </rowItems>
  <colItems count="1">
    <i/>
  </colItems>
  <dataFields count="1">
    <dataField name="Sum of Salary" fld="3" baseField="2"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DB2D3EB-D467-4F62-B55D-A539EB5617E1}" name="PivotTable2" cacheId="2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22:I126" firstHeaderRow="1" firstDataRow="1" firstDataCol="1"/>
  <pivotFields count="3">
    <pivotField showAll="0"/>
    <pivotField axis="axisRow" showAll="0" sortType="ascending">
      <items count="4">
        <item x="1"/>
        <item x="2"/>
        <item x="0"/>
        <item t="default"/>
      </items>
    </pivotField>
    <pivotField dataField="1" showAll="0"/>
  </pivotFields>
  <rowFields count="1">
    <field x="1"/>
  </rowFields>
  <rowItems count="4">
    <i>
      <x/>
    </i>
    <i>
      <x v="1"/>
    </i>
    <i>
      <x v="2"/>
    </i>
    <i t="grand">
      <x/>
    </i>
  </rowItems>
  <colItems count="1">
    <i/>
  </colItems>
  <dataFields count="1">
    <dataField name="Sum of Sales"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5DBD75E-1734-4EB4-9145-6665AD141B90}" name="PivotTable5" cacheId="2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45:C149" firstHeaderRow="1" firstDataRow="1" firstDataCol="1"/>
  <pivotFields count="3">
    <pivotField showAll="0"/>
    <pivotField axis="axisRow" showAll="0">
      <items count="4">
        <item x="1"/>
        <item x="2"/>
        <item x="0"/>
        <item t="default"/>
      </items>
    </pivotField>
    <pivotField dataField="1" showAll="0"/>
  </pivotFields>
  <rowFields count="1">
    <field x="1"/>
  </rowFields>
  <rowItems count="4">
    <i>
      <x/>
    </i>
    <i>
      <x v="1"/>
    </i>
    <i>
      <x v="2"/>
    </i>
    <i t="grand">
      <x/>
    </i>
  </rowItems>
  <colItems count="1">
    <i/>
  </colItems>
  <dataFields count="1">
    <dataField name="Max of Sales" fld="2" subtotal="max"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7D41DA5-6025-4565-84DE-7DAE68A9E545}" name="PivotTable4" cacheId="2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46:I150" firstHeaderRow="1" firstDataRow="1" firstDataCol="1"/>
  <pivotFields count="3">
    <pivotField showAll="0"/>
    <pivotField axis="axisRow" showAll="0">
      <items count="4">
        <item x="1"/>
        <item x="2"/>
        <item x="0"/>
        <item t="default"/>
      </items>
    </pivotField>
    <pivotField dataField="1" showAll="0"/>
  </pivotFields>
  <rowFields count="1">
    <field x="1"/>
  </rowFields>
  <rowItems count="4">
    <i>
      <x/>
    </i>
    <i>
      <x v="1"/>
    </i>
    <i>
      <x v="2"/>
    </i>
    <i t="grand">
      <x/>
    </i>
  </rowItems>
  <colItems count="1">
    <i/>
  </colItems>
  <dataFields count="1">
    <dataField name="Average of Sales" fld="2" subtotal="average"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FB88F7C-2BF5-4BF9-A8AB-919526F3BA3C}" name="PivotTable3" cacheId="2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39:I143" firstHeaderRow="1" firstDataRow="1" firstDataCol="1"/>
  <pivotFields count="3">
    <pivotField dataField="1" showAll="0"/>
    <pivotField axis="axisRow" showAll="0">
      <items count="4">
        <item x="1"/>
        <item x="2"/>
        <item x="0"/>
        <item t="default"/>
      </items>
    </pivotField>
    <pivotField showAll="0"/>
  </pivotFields>
  <rowFields count="1">
    <field x="1"/>
  </rowFields>
  <rowItems count="4">
    <i>
      <x/>
    </i>
    <i>
      <x v="1"/>
    </i>
    <i>
      <x v="2"/>
    </i>
    <i t="grand">
      <x/>
    </i>
  </rowItems>
  <colItems count="1">
    <i/>
  </colItems>
  <dataFields count="1">
    <dataField name="Count of Employe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4A99A899-C4C2-42AE-9435-7931F13412A7}" sourceName="City">
  <pivotTables>
    <pivotTable tabId="1" name="PivotTable6"/>
  </pivotTables>
  <data>
    <tabular pivotCacheId="1942898038">
      <items count="4">
        <i x="0" s="1"/>
        <i x="2" s="1"/>
        <i x="1" s="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1" xr10:uid="{11EB28C1-9A68-40DC-95ED-01E60C5886F4}" sourceName="City">
  <pivotTables>
    <pivotTable tabId="1" name="PivotTable1"/>
  </pivotTables>
  <data>
    <tabular pivotCacheId="1886512966">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6E1E9471-F185-4ED7-B5BB-ED302FBA0AC5}" sourceName="Department">
  <pivotTables>
    <pivotTable tabId="1" name="PivotTable10"/>
  </pivotTables>
  <data>
    <tabular pivotCacheId="471431508">
      <items count="4">
        <i x="3" s="1"/>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A7FD803D-759A-4B37-BE12-2F30B8D04CEF}" sourceName="Department">
  <pivotTables>
    <pivotTable tabId="1" name="PivotTable12"/>
  </pivotTables>
  <data>
    <tabular pivotCacheId="812400594">
      <items count="4">
        <i x="3"/>
        <i x="1" s="1"/>
        <i x="2"/>
        <i x="0"/>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2" xr10:uid="{E6A897A1-E6AE-43E0-95AB-5D15ED645323}" sourceName="Department">
  <pivotTables>
    <pivotTable tabId="1" name="Employee by City"/>
    <pivotTable tabId="1" name="Department Salary"/>
    <pivotTable tabId="1" name="employee by depatment"/>
  </pivotTables>
  <data>
    <tabular pivotCacheId="1316363751">
      <items count="4">
        <i x="3" s="1"/>
        <i x="1" s="1"/>
        <i x="2"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2" xr10:uid="{D26D110F-60EC-49C8-984D-E6D779835EE2}" sourceName="City">
  <pivotTables>
    <pivotTable tabId="1" name="Employee by City"/>
    <pivotTable tabId="1" name="Department Salary"/>
    <pivotTable tabId="1" name="employee by depatment"/>
  </pivotTables>
  <data>
    <tabular pivotCacheId="1316363751">
      <items count="5">
        <i x="1" s="1"/>
        <i x="3" s="1"/>
        <i x="0" s="1"/>
        <i x="2" s="1"/>
        <i x="4"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6E3DDD9-AC3A-436D-8CC2-B4ABA63C2DDF}" sourceName="Region">
  <pivotTables>
    <pivotTable tabId="1" name="PivotTable17"/>
    <pivotTable tabId="1" name="PivotTable18"/>
    <pivotTable tabId="1" name="PivotTable20"/>
    <pivotTable tabId="1" name="PivotTable21"/>
  </pivotTables>
  <data>
    <tabular pivotCacheId="1095076992">
      <items count="4">
        <i x="2" s="1"/>
        <i x="0" s="1"/>
        <i x="1" s="1"/>
        <i x="3"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163DAC49-F9C8-46E5-B062-991E251E41DA}" sourceName="Product">
  <pivotTables>
    <pivotTable tabId="1" name="PivotTable17"/>
    <pivotTable tabId="1" name="PivotTable18"/>
    <pivotTable tabId="1" name="PivotTable20"/>
    <pivotTable tabId="1" name="PivotTable21"/>
  </pivotTables>
  <data>
    <tabular pivotCacheId="1095076992">
      <items count="4">
        <i x="2" s="1"/>
        <i x="0"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A1769136-64E8-42F4-8C56-7DFE277DD905}" cache="Slicer_City" caption="City" rowHeight="234950"/>
  <slicer name="City 1" xr10:uid="{16B3312E-5E04-40C9-A234-11620625C9BE}" cache="Slicer_City1" caption="City" rowHeight="234950"/>
  <slicer name="Department" xr10:uid="{F8C540BE-E4D7-47F7-BBAA-0FE8DE4C3034}" cache="Slicer_Department" caption="Department" rowHeight="234950"/>
  <slicer name="Department 1" xr10:uid="{A65FAB4A-3681-4EB6-A92D-62AFA897B6FD}" cache="Slicer_Department1" caption="Department"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0C0B3A6-CF8D-48D5-B473-E3CE78219469}" cache="Slicer_Region" caption="Region" rowHeight="234950"/>
  <slicer name="Product" xr10:uid="{62985D73-2311-4B7C-A727-04A1328430C7}" cache="Slicer_Product" caption="Product"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2" xr10:uid="{C8C12CBB-2154-4D40-B9FC-FAACA92E8C50}" cache="Slicer_Department2" caption="Department" style="SlicerStyleLight5" rowHeight="234950"/>
  <slicer name="City 2" xr10:uid="{C34858B3-11E4-4AB7-B66F-759E84E14E92}" cache="Slicer_City2" caption="City" style="SlicerStyleLight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DCCA766-BDD8-4989-BA65-CCEF96A95F7B}" name="Table4" displayName="Table4" ref="Q176:R180" totalsRowShown="0">
  <autoFilter ref="Q176:R180" xr:uid="{4DCCA766-BDD8-4989-BA65-CCEF96A95F7B}"/>
  <tableColumns count="2">
    <tableColumn id="1" xr3:uid="{12C23297-7C94-4C72-AF5F-2FD94E88D664}" name="Column1" dataDxfId="258"/>
    <tableColumn id="2" xr3:uid="{0AEA8A62-220A-4D69-8A10-2CF23BF19ED6}" name="Column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2D1D6C8-4360-4B7A-9914-14C0742F7370}" name="Table2" displayName="Table2" ref="B238:E249" totalsRowCount="1" headerRowDxfId="257" dataDxfId="256">
  <autoFilter ref="B238:E248" xr:uid="{92D1D6C8-4360-4B7A-9914-14C0742F7370}"/>
  <tableColumns count="4">
    <tableColumn id="1" xr3:uid="{BE86FE1A-B7C6-4C88-95C2-A02FDEB50179}" name="Employee" dataDxfId="255" totalsRowDxfId="254"/>
    <tableColumn id="2" xr3:uid="{60FF2FDE-7ED5-4402-9BED-8CBDD7F16538}" name="Department" dataDxfId="253" totalsRowDxfId="252"/>
    <tableColumn id="3" xr3:uid="{647574F8-0E58-45CF-B32F-FCD5D0ED1212}" name="City" dataDxfId="251" totalsRowDxfId="250"/>
    <tableColumn id="4" xr3:uid="{B25A99FC-2900-4220-A3C7-4A3E5D19172A}" name="Salary" dataDxfId="249"/>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4AA54E7-B1AE-4534-BBAC-9D8B37C5DD21}" name="Table5" displayName="Table5" ref="B307:K312" totalsRowShown="0" headerRowBorderDxfId="247" tableBorderDxfId="248" totalsRowBorderDxfId="246">
  <autoFilter ref="B307:K312" xr:uid="{94AA54E7-B1AE-4534-BBAC-9D8B37C5DD21}"/>
  <tableColumns count="10">
    <tableColumn id="1" xr3:uid="{786D72BE-DCA8-4F30-9A8A-CB3D58B612E5}" name="101" dataDxfId="245"/>
    <tableColumn id="2" xr3:uid="{EF59600F-0773-44AB-9DED-D4B990C36E9D}" name="Amit" dataDxfId="244"/>
    <tableColumn id="3" xr3:uid="{9DA1CCFB-D548-474E-8F15-C0046E1153EC}" name="Sales" dataDxfId="243"/>
    <tableColumn id="4" xr3:uid="{231C7BD8-2DA5-4C4A-A8BD-702D60F07A19}" name="Bangalore" dataDxfId="242"/>
    <tableColumn id="5" xr3:uid="{C270E719-D3C2-4DF3-BBA5-B30B6D665126}" name="35000" dataDxfId="241"/>
    <tableColumn id="6" xr3:uid="{1CDFD0AC-0BDB-43FB-9549-370D84E77A0A}" name="95" dataDxfId="240"/>
    <tableColumn id="7" xr3:uid="{D1F50510-D132-4B42-BE91-FD4EA9E17F6B}" name="12-Jan-24" dataDxfId="239"/>
    <tableColumn id="8" xr3:uid="{DF2DEBBB-1FD6-4C8E-8348-55AEE497E6E7}" name="Sales2" dataDxfId="238"/>
    <tableColumn id="9" xr3:uid="{4344B095-F036-4CD5-B857-BD593C3B3BE2}" name="18" dataDxfId="237"/>
    <tableColumn id="10" xr3:uid="{BE00F515-986C-44D2-A20B-67CB86604386}" name="08 January 2026" dataDxfId="236"/>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CB005B4-9555-4F7A-8A6B-7ECF95648A63}" name="Table7" displayName="Table7" ref="B378:M386" totalsRowShown="0" headerRowBorderDxfId="234" tableBorderDxfId="235" totalsRowBorderDxfId="233">
  <autoFilter ref="B378:M386" xr:uid="{7CB005B4-9555-4F7A-8A6B-7ECF95648A63}"/>
  <tableColumns count="12">
    <tableColumn id="1" xr3:uid="{58ED0D3B-D310-4D31-B699-AB386EFA8B20}" name="Emp ID" dataDxfId="232"/>
    <tableColumn id="2" xr3:uid="{730E5496-8361-4392-842F-FCEC74859EBA}" name="Name" dataDxfId="231"/>
    <tableColumn id="3" xr3:uid="{22786BFB-6119-4E08-9F60-487340387CAC}" name="Department" dataDxfId="230"/>
    <tableColumn id="4" xr3:uid="{F8E012E9-5FC4-44EC-B2C7-7347CE3424A8}" name="City" dataDxfId="229"/>
    <tableColumn id="5" xr3:uid="{A3F185CF-EFB9-46CC-AEC8-2919BAC3554B}" name="Salary" dataDxfId="228"/>
    <tableColumn id="6" xr3:uid="{0D3E08D7-238E-40B5-A171-0857910C2672}" name="Attendance" dataDxfId="227"/>
    <tableColumn id="7" xr3:uid="{7CF9ACB7-7A86-4EB1-BAEC-844BCC58DB95}" name="Joining Date" dataDxfId="219"/>
    <tableColumn id="8" xr3:uid="{B0A7B18B-F10E-4C2F-9BBB-DCE147F1F331}" name="Email" dataDxfId="217" dataCellStyle="Hyperlink"/>
    <tableColumn id="9" xr3:uid="{DE83F569-09EA-421F-96F4-C9F4D97A483A}" name="Experience" dataDxfId="218">
      <calculatedColumnFormula>DATEDIF(H379,TODAY(),"y")</calculatedColumnFormula>
    </tableColumn>
    <tableColumn id="10" xr3:uid="{89B5F418-4B7C-4ED3-8674-3530476F1318}" name="status" dataDxfId="226">
      <calculatedColumnFormula>IF(J379&gt;=10,"Senior Promotion",IF(J379&gt;=5,"Promotion Eligible","Not Eligible"))</calculatedColumnFormula>
    </tableColumn>
    <tableColumn id="11" xr3:uid="{B115713A-82D8-4E47-A592-D9CD8A4B2BB9}" name="Task 9" dataDxfId="216"/>
    <tableColumn id="12" xr3:uid="{6C406F2A-519A-4B09-AED6-F00C5DA44B4B}" name="Last date" dataDxfId="215">
      <calculatedColumnFormula>EOMONTH(Table7[[#This Row],[Joining Date]],0)</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9197A7F-27D7-491E-96F9-50214F0F78D6}" name="Table8" displayName="Table8" ref="B419:E425" totalsRowShown="0">
  <autoFilter ref="B419:E425" xr:uid="{F9197A7F-27D7-491E-96F9-50214F0F78D6}"/>
  <sortState xmlns:xlrd2="http://schemas.microsoft.com/office/spreadsheetml/2017/richdata2" ref="B420:E425">
    <sortCondition ref="E419:E425"/>
  </sortState>
  <tableColumns count="4">
    <tableColumn id="1" xr3:uid="{720269C0-8349-4E09-B882-217FAAA2F04A}" name="Emp ID" dataDxfId="214"/>
    <tableColumn id="2" xr3:uid="{6E3BAA32-2A7B-4E9E-9592-4570A1BB4972}" name="Name" dataDxfId="213"/>
    <tableColumn id="3" xr3:uid="{93067EDB-8C0F-4EB0-8638-6984BA65ADB0}" name="Department" dataDxfId="212"/>
    <tableColumn id="4" xr3:uid="{81642B07-0696-40B0-9B5B-DF88242026DA}" name="Salary" dataDxfId="211"/>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C9F1BE3-6DAE-41AB-BA7A-0896CCB43AB8}" name="Table9" displayName="Table9" ref="C431:G439" totalsRowShown="0" headerRowDxfId="204" dataDxfId="205">
  <autoFilter ref="C431:G439" xr:uid="{FC9F1BE3-6DAE-41AB-BA7A-0896CCB43AB8}"/>
  <tableColumns count="5">
    <tableColumn id="1" xr3:uid="{0BD3CE71-2921-40C4-8F84-761B091A079F}" name="Emp ID" dataDxfId="210"/>
    <tableColumn id="2" xr3:uid="{5BAB6102-5337-4726-B2C9-9C36E053D230}" name="Name" dataDxfId="209"/>
    <tableColumn id="3" xr3:uid="{B87F37FB-775E-41F1-8A5A-7C2A10C0E851}" name="Department" dataDxfId="208"/>
    <tableColumn id="4" xr3:uid="{2D089643-1537-4506-823A-00B9E6C5AAEC}" name="City" dataDxfId="207"/>
    <tableColumn id="5" xr3:uid="{A3F2E1A4-2420-47D2-A6E0-3030865DA7A7}" name="Salary" dataDxfId="206"/>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DC33B36D-8208-4134-8B1B-DF7F8A1BF43F}" name="Table10" displayName="Table10" ref="B455:H466" totalsRowCount="1" headerRowDxfId="177" dataDxfId="178">
  <autoFilter ref="B455:H465" xr:uid="{DC33B36D-8208-4134-8B1B-DF7F8A1BF43F}"/>
  <tableColumns count="7">
    <tableColumn id="1" xr3:uid="{CF934BC4-97F5-4DC5-8902-562EB2606FA6}" name="Order ID" dataDxfId="185" totalsRowDxfId="176"/>
    <tableColumn id="2" xr3:uid="{9AB98CFB-ED9B-4D7D-95C8-4F31B6FB8A3B}" name="Date" dataDxfId="184" totalsRowDxfId="175"/>
    <tableColumn id="3" xr3:uid="{142F2D66-60D4-468C-A940-144F0C8AC155}" name="Salesperson" dataDxfId="183" totalsRowDxfId="174"/>
    <tableColumn id="4" xr3:uid="{76DB4C99-9C49-44A6-9032-4B0C59816A44}" name="Region" dataDxfId="182" totalsRowDxfId="173"/>
    <tableColumn id="5" xr3:uid="{AEA81F52-8AA6-40B5-9401-2569E3081995}" name="Product" dataDxfId="181" totalsRowDxfId="172"/>
    <tableColumn id="6" xr3:uid="{77091F95-DA5A-4BCB-8B5E-A5625ED983D4}" name="Quantity" totalsRowFunction="sum" dataDxfId="180" totalsRowDxfId="171"/>
    <tableColumn id="7" xr3:uid="{23640A57-32E7-4A27-B95C-8C5DE3463D33}" name="Sales" totalsRowFunction="sum" dataDxfId="179" totalsRowDxfId="170"/>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58AF813-CE6E-4D2A-BD2E-988B5FBE7F24}" name="Table3" displayName="Table3" ref="A2:E7" totalsRowShown="0" headerRowDxfId="271" dataDxfId="270">
  <autoFilter ref="A2:E7" xr:uid="{358AF813-CE6E-4D2A-BD2E-988B5FBE7F24}"/>
  <tableColumns count="5">
    <tableColumn id="1" xr3:uid="{D9DCF061-89F8-4C9D-B75C-0B6429AA803D}" name="Employee ID" dataDxfId="269"/>
    <tableColumn id="2" xr3:uid="{E465D85C-9B33-44A4-8ACE-6DD9D1638342}" name="Name" dataDxfId="268"/>
    <tableColumn id="3" xr3:uid="{827D9AA5-F624-41DB-AF86-3C323B31920D}" name="Department" dataDxfId="267"/>
    <tableColumn id="4" xr3:uid="{1B026182-860F-4379-BCDE-496E0797B3E7}" name="Salary" dataDxfId="266"/>
    <tableColumn id="5" xr3:uid="{88DFF607-D86B-433F-A7A4-37D500FA4F7E}" name="City" dataDxfId="26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pivotTable" Target="../pivotTables/pivotTable13.xml"/><Relationship Id="rId18" Type="http://schemas.openxmlformats.org/officeDocument/2006/relationships/hyperlink" Target="mailto:rahul@COMPANY.com" TargetMode="External"/><Relationship Id="rId26" Type="http://schemas.openxmlformats.org/officeDocument/2006/relationships/table" Target="../tables/table1.xml"/><Relationship Id="rId3" Type="http://schemas.openxmlformats.org/officeDocument/2006/relationships/pivotTable" Target="../pivotTables/pivotTable3.xml"/><Relationship Id="rId21" Type="http://schemas.openxmlformats.org/officeDocument/2006/relationships/hyperlink" Target="mailto:SIMRAN@company.COM" TargetMode="Externa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hyperlink" Target="mailto:NEHA@Company.com" TargetMode="External"/><Relationship Id="rId25" Type="http://schemas.openxmlformats.org/officeDocument/2006/relationships/drawing" Target="../drawings/drawing1.xml"/><Relationship Id="rId33" Type="http://schemas.microsoft.com/office/2007/relationships/slicer" Target="../slicers/slicer1.xml"/><Relationship Id="rId2" Type="http://schemas.openxmlformats.org/officeDocument/2006/relationships/pivotTable" Target="../pivotTables/pivotTable2.xml"/><Relationship Id="rId16" Type="http://schemas.openxmlformats.org/officeDocument/2006/relationships/hyperlink" Target="mailto:AMIT@company.COM" TargetMode="External"/><Relationship Id="rId20" Type="http://schemas.openxmlformats.org/officeDocument/2006/relationships/hyperlink" Target="mailto:karan@Company.com" TargetMode="External"/><Relationship Id="rId29" Type="http://schemas.openxmlformats.org/officeDocument/2006/relationships/table" Target="../tables/table4.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rinterSettings" Target="../printerSettings/printerSettings1.bin"/><Relationship Id="rId32" Type="http://schemas.openxmlformats.org/officeDocument/2006/relationships/table" Target="../tables/table7.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hyperlink" Target="mailto:riya@Company.com" TargetMode="External"/><Relationship Id="rId28" Type="http://schemas.openxmlformats.org/officeDocument/2006/relationships/table" Target="../tables/table3.xml"/><Relationship Id="rId10" Type="http://schemas.openxmlformats.org/officeDocument/2006/relationships/pivotTable" Target="../pivotTables/pivotTable10.xml"/><Relationship Id="rId19" Type="http://schemas.openxmlformats.org/officeDocument/2006/relationships/hyperlink" Target="mailto:PRIYA@company.com" TargetMode="External"/><Relationship Id="rId31" Type="http://schemas.openxmlformats.org/officeDocument/2006/relationships/table" Target="../tables/table6.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hyperlink" Target="mailto:MOHIT@company.COM" TargetMode="External"/><Relationship Id="rId27" Type="http://schemas.openxmlformats.org/officeDocument/2006/relationships/table" Target="../tables/table2.xml"/><Relationship Id="rId30" Type="http://schemas.openxmlformats.org/officeDocument/2006/relationships/table" Target="../tables/table5.xml"/><Relationship Id="rId8" Type="http://schemas.openxmlformats.org/officeDocument/2006/relationships/pivotTable" Target="../pivotTables/pivotTable8.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8.xml"/></Relationships>
</file>

<file path=xl/worksheets/_rels/sheet5.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7D726-EC85-42CD-862C-FBA96756B0CD}">
  <dimension ref="B3:Y483"/>
  <sheetViews>
    <sheetView topLeftCell="A456" zoomScaleNormal="100" workbookViewId="0">
      <selection activeCell="E480" sqref="E480"/>
    </sheetView>
  </sheetViews>
  <sheetFormatPr defaultRowHeight="14.4"/>
  <cols>
    <col min="2" max="2" width="12.5546875" bestFit="1" customWidth="1"/>
    <col min="3" max="3" width="11.6640625" bestFit="1" customWidth="1"/>
    <col min="4" max="4" width="12.88671875" customWidth="1"/>
    <col min="5" max="5" width="12.5546875" bestFit="1" customWidth="1"/>
    <col min="6" max="6" width="11.6640625" bestFit="1" customWidth="1"/>
    <col min="7" max="7" width="14.88671875" bestFit="1" customWidth="1"/>
    <col min="8" max="8" width="12.5546875" bestFit="1" customWidth="1"/>
    <col min="9" max="9" width="11.6640625" bestFit="1" customWidth="1"/>
    <col min="10" max="10" width="14.88671875" bestFit="1" customWidth="1"/>
    <col min="11" max="11" width="17" customWidth="1"/>
    <col min="12" max="12" width="18" customWidth="1"/>
    <col min="13" max="13" width="16.109375" customWidth="1"/>
    <col min="14" max="14" width="14.44140625" customWidth="1"/>
    <col min="15" max="15" width="10.88671875" customWidth="1"/>
    <col min="18" max="18" width="10.5546875" customWidth="1"/>
    <col min="19" max="19" width="11.44140625" customWidth="1"/>
    <col min="20" max="20" width="11.33203125" customWidth="1"/>
    <col min="22" max="22" width="12.6640625" customWidth="1"/>
    <col min="23" max="23" width="14.44140625" customWidth="1"/>
  </cols>
  <sheetData>
    <row r="3" spans="6:9">
      <c r="G3" s="1" t="s">
        <v>0</v>
      </c>
      <c r="H3" s="1" t="s">
        <v>1</v>
      </c>
    </row>
    <row r="4" spans="6:9">
      <c r="G4" s="2" t="s">
        <v>2</v>
      </c>
      <c r="H4" s="2">
        <v>85</v>
      </c>
      <c r="I4" t="str">
        <f>IF(H4&gt;40,"pass","fail")</f>
        <v>pass</v>
      </c>
    </row>
    <row r="5" spans="6:9">
      <c r="G5" s="2" t="s">
        <v>3</v>
      </c>
      <c r="H5" s="2">
        <v>72</v>
      </c>
      <c r="I5" t="str">
        <f>IF(H5&gt;40,"pass","fail")</f>
        <v>pass</v>
      </c>
    </row>
    <row r="6" spans="6:9">
      <c r="G6" s="2" t="s">
        <v>4</v>
      </c>
      <c r="H6" s="2">
        <v>91</v>
      </c>
      <c r="I6" t="str">
        <f>IF(H6&gt;40,"pass","fail")</f>
        <v>pass</v>
      </c>
    </row>
    <row r="7" spans="6:9">
      <c r="G7" s="2" t="s">
        <v>5</v>
      </c>
      <c r="H7" s="2">
        <v>35</v>
      </c>
      <c r="I7" t="str">
        <f>IF(H7&gt;40,"pass","fail")</f>
        <v>fail</v>
      </c>
    </row>
    <row r="8" spans="6:9">
      <c r="G8" s="2" t="s">
        <v>6</v>
      </c>
      <c r="H8" s="2">
        <v>78</v>
      </c>
      <c r="I8" t="str">
        <f>IF(H8&gt;40,"pass","fail")</f>
        <v>pass</v>
      </c>
    </row>
    <row r="11" spans="6:9">
      <c r="F11" s="3" t="s">
        <v>7</v>
      </c>
      <c r="G11">
        <f>SUM(H4:H8)</f>
        <v>361</v>
      </c>
    </row>
    <row r="12" spans="6:9">
      <c r="F12" t="s">
        <v>8</v>
      </c>
      <c r="G12">
        <f>AVERAGE(H4:H8)</f>
        <v>72.2</v>
      </c>
    </row>
    <row r="13" spans="6:9">
      <c r="F13" t="s">
        <v>9</v>
      </c>
      <c r="G13">
        <f>COUNT(H4:H8)</f>
        <v>5</v>
      </c>
    </row>
    <row r="14" spans="6:9">
      <c r="F14" t="s">
        <v>10</v>
      </c>
      <c r="G14">
        <f>MAX(H4:H8)</f>
        <v>91</v>
      </c>
    </row>
    <row r="15" spans="6:9">
      <c r="F15" t="s">
        <v>11</v>
      </c>
      <c r="G15">
        <f>MIN(H4:H8)</f>
        <v>35</v>
      </c>
    </row>
    <row r="19" spans="2:15">
      <c r="B19" s="1" t="s">
        <v>13</v>
      </c>
      <c r="C19" s="1" t="s">
        <v>25</v>
      </c>
    </row>
    <row r="20" spans="2:15">
      <c r="B20" s="2">
        <v>10000</v>
      </c>
      <c r="C20" s="2">
        <v>20000</v>
      </c>
      <c r="D20">
        <f>IFERROR(B20/C20,0)</f>
        <v>0.5</v>
      </c>
      <c r="O20" s="4"/>
    </row>
    <row r="21" spans="2:15">
      <c r="B21" s="2">
        <v>15000</v>
      </c>
      <c r="C21" s="2">
        <v>0</v>
      </c>
      <c r="D21">
        <f>IFERROR(B21/C21,0)</f>
        <v>0</v>
      </c>
      <c r="O21" s="4"/>
    </row>
    <row r="22" spans="2:15">
      <c r="B22" s="2">
        <v>18000</v>
      </c>
      <c r="C22" s="2">
        <v>30000</v>
      </c>
      <c r="D22">
        <f>IFERROR(B22/C22,0)</f>
        <v>0.6</v>
      </c>
      <c r="O22" s="4"/>
    </row>
    <row r="26" spans="2:15">
      <c r="C26" s="1" t="s">
        <v>12</v>
      </c>
      <c r="D26" s="1" t="s">
        <v>13</v>
      </c>
      <c r="E26" s="3" t="s">
        <v>24</v>
      </c>
    </row>
    <row r="27" spans="2:15">
      <c r="C27" s="2" t="s">
        <v>14</v>
      </c>
      <c r="D27" s="2">
        <v>12000</v>
      </c>
      <c r="E27" t="str">
        <f>IF(D27&gt;=15000,"Good","needs Improvement")</f>
        <v>needs Improvement</v>
      </c>
      <c r="I27" t="s">
        <v>26</v>
      </c>
    </row>
    <row r="28" spans="2:15">
      <c r="C28" s="2" t="s">
        <v>15</v>
      </c>
      <c r="D28" s="2">
        <v>15000</v>
      </c>
      <c r="E28" t="str">
        <f>IF(D28&gt;=15000,"Good","needs Improvement")</f>
        <v>Good</v>
      </c>
      <c r="I28" t="s">
        <v>27</v>
      </c>
    </row>
    <row r="29" spans="2:15">
      <c r="C29" s="2" t="s">
        <v>16</v>
      </c>
      <c r="D29" s="2">
        <v>10000</v>
      </c>
      <c r="E29" t="str">
        <f>IF(D29&gt;=15000,"Good","needs Improvement")</f>
        <v>needs Improvement</v>
      </c>
    </row>
    <row r="30" spans="2:15">
      <c r="C30" s="2" t="s">
        <v>17</v>
      </c>
      <c r="D30" s="2">
        <v>18000</v>
      </c>
      <c r="E30" t="str">
        <f>IF(D30&gt;=15000,"Good","needs Improvement")</f>
        <v>Good</v>
      </c>
    </row>
    <row r="31" spans="2:15">
      <c r="C31" s="2" t="s">
        <v>18</v>
      </c>
      <c r="D31" s="2">
        <v>22000</v>
      </c>
      <c r="E31" t="str">
        <f>IF(D31&gt;=15000,"Good","needs Improvement")</f>
        <v>Good</v>
      </c>
    </row>
    <row r="34" spans="2:5">
      <c r="C34" t="s">
        <v>19</v>
      </c>
      <c r="E34">
        <f>SUM(D27:D31)</f>
        <v>77000</v>
      </c>
    </row>
    <row r="35" spans="2:5">
      <c r="C35" t="s">
        <v>20</v>
      </c>
      <c r="E35">
        <f>AVERAGE(D27:D31)</f>
        <v>15400</v>
      </c>
    </row>
    <row r="36" spans="2:5">
      <c r="C36" t="s">
        <v>21</v>
      </c>
      <c r="E36">
        <f>MAX(D27:D31)</f>
        <v>22000</v>
      </c>
    </row>
    <row r="37" spans="2:5">
      <c r="C37" t="s">
        <v>22</v>
      </c>
      <c r="E37">
        <f>MIN(D27:D31)</f>
        <v>10000</v>
      </c>
    </row>
    <row r="38" spans="2:5">
      <c r="C38" t="s">
        <v>23</v>
      </c>
      <c r="E38">
        <f>COUNT(D27:D31)</f>
        <v>5</v>
      </c>
    </row>
    <row r="43" spans="2:5">
      <c r="B43" t="s">
        <v>28</v>
      </c>
      <c r="C43" t="str">
        <f>LEFT(B43,3)</f>
        <v>EMP</v>
      </c>
      <c r="D43" t="s">
        <v>29</v>
      </c>
    </row>
    <row r="44" spans="2:5">
      <c r="C44" t="str">
        <f>RIGHT(B43,5)</f>
        <v>12345</v>
      </c>
      <c r="D44" t="s">
        <v>30</v>
      </c>
    </row>
    <row r="45" spans="2:5">
      <c r="C45" t="str">
        <f>MID(B43,4,3)</f>
        <v>123</v>
      </c>
      <c r="D45" t="s">
        <v>31</v>
      </c>
    </row>
    <row r="46" spans="2:5">
      <c r="C46" s="5">
        <f>LEN(B43)</f>
        <v>8</v>
      </c>
      <c r="D46" t="s">
        <v>32</v>
      </c>
    </row>
    <row r="48" spans="2:5">
      <c r="B48" t="s">
        <v>33</v>
      </c>
      <c r="C48" t="str">
        <f>TRIM(B48)</f>
        <v>Tajinder Singh</v>
      </c>
      <c r="D48" t="s">
        <v>34</v>
      </c>
    </row>
    <row r="53" spans="2:6">
      <c r="B53" s="1" t="s">
        <v>35</v>
      </c>
    </row>
    <row r="54" spans="2:6">
      <c r="B54" s="2" t="s">
        <v>28</v>
      </c>
      <c r="C54" t="str">
        <f>LEFT(B54,3)</f>
        <v>EMP</v>
      </c>
      <c r="D54" t="str">
        <f>RIGHT(B54,5)</f>
        <v>12345</v>
      </c>
      <c r="E54">
        <f>LEN(B54)</f>
        <v>8</v>
      </c>
      <c r="F54" t="str">
        <f>MID(B54,4,3)</f>
        <v>123</v>
      </c>
    </row>
    <row r="55" spans="2:6">
      <c r="B55" s="2" t="s">
        <v>36</v>
      </c>
      <c r="C55" t="str">
        <f>LEFT(B55,3)</f>
        <v>EMP</v>
      </c>
      <c r="D55" t="str">
        <f>RIGHT(B55,5)</f>
        <v>67890</v>
      </c>
      <c r="E55">
        <f>LEN(B55)</f>
        <v>8</v>
      </c>
      <c r="F55" t="str">
        <f>MID(B55,4,3)</f>
        <v>678</v>
      </c>
    </row>
    <row r="56" spans="2:6">
      <c r="B56" s="2" t="s">
        <v>37</v>
      </c>
      <c r="C56" t="str">
        <f>LEFT(B56,3)</f>
        <v>EMP</v>
      </c>
      <c r="D56" t="str">
        <f>RIGHT(B56,5)</f>
        <v>54321</v>
      </c>
      <c r="E56">
        <f>LEN(B56)</f>
        <v>8</v>
      </c>
      <c r="F56" t="str">
        <f>MID(B56,4,3)</f>
        <v>543</v>
      </c>
    </row>
    <row r="58" spans="2:6">
      <c r="B58" s="1" t="s">
        <v>38</v>
      </c>
      <c r="C58" s="1" t="s">
        <v>39</v>
      </c>
    </row>
    <row r="59" spans="2:6">
      <c r="B59" s="2" t="s">
        <v>40</v>
      </c>
      <c r="C59" s="2" t="s">
        <v>41</v>
      </c>
      <c r="E59" t="str">
        <f>_xlfn.CONCAT(B59,"   ",C59)</f>
        <v>Tajinder   Singh</v>
      </c>
    </row>
    <row r="61" spans="2:6" ht="28.8">
      <c r="B61" s="1" t="s">
        <v>42</v>
      </c>
    </row>
    <row r="62" spans="2:6" ht="28.8">
      <c r="B62" s="2" t="s">
        <v>43</v>
      </c>
      <c r="C62" t="str">
        <f>TRIM(B62)</f>
        <v>" Tajinder Singh "</v>
      </c>
    </row>
    <row r="63" spans="2:6">
      <c r="B63" s="2" t="s">
        <v>44</v>
      </c>
      <c r="C63" t="str">
        <f>TRIM(B63)</f>
        <v>" Ravi Kumar "</v>
      </c>
    </row>
    <row r="67" spans="2:4">
      <c r="B67" s="1" t="s">
        <v>38</v>
      </c>
      <c r="C67" s="1" t="s">
        <v>39</v>
      </c>
      <c r="D67" s="3" t="s">
        <v>47</v>
      </c>
    </row>
    <row r="68" spans="2:4">
      <c r="B68" s="2" t="s">
        <v>40</v>
      </c>
      <c r="C68" s="2" t="s">
        <v>41</v>
      </c>
      <c r="D68" t="str">
        <f>_xlfn.CONCAT(B68,"  ",C68)</f>
        <v>Tajinder  Singh</v>
      </c>
    </row>
    <row r="69" spans="2:4">
      <c r="B69" s="2" t="s">
        <v>3</v>
      </c>
      <c r="C69" s="2" t="s">
        <v>45</v>
      </c>
      <c r="D69" t="str">
        <f>_xlfn.CONCAT(B69," ",C69)</f>
        <v>Ravi Kumar</v>
      </c>
    </row>
    <row r="70" spans="2:4">
      <c r="B70" s="2" t="s">
        <v>2</v>
      </c>
      <c r="C70" s="2" t="s">
        <v>46</v>
      </c>
      <c r="D70" t="str">
        <f>_xlfn.CONCAT(B70," ",C70)</f>
        <v>Aman Sharma</v>
      </c>
    </row>
    <row r="73" spans="2:4">
      <c r="B73" s="1" t="s">
        <v>48</v>
      </c>
      <c r="C73" s="3" t="s">
        <v>50</v>
      </c>
    </row>
    <row r="74" spans="2:4" ht="28.8">
      <c r="B74" s="2" t="s">
        <v>43</v>
      </c>
      <c r="C74" t="str">
        <f>TRIM(B74)</f>
        <v>" Tajinder Singh "</v>
      </c>
    </row>
    <row r="75" spans="2:4">
      <c r="B75" s="2" t="s">
        <v>44</v>
      </c>
      <c r="C75" t="str">
        <f>TRIM(B75)</f>
        <v>" Ravi Kumar "</v>
      </c>
    </row>
    <row r="76" spans="2:4" ht="28.8">
      <c r="B76" s="2" t="s">
        <v>49</v>
      </c>
      <c r="C76" t="str">
        <f>TRIM(B76)</f>
        <v>" Aman Sharma "</v>
      </c>
    </row>
    <row r="83" spans="2:14">
      <c r="B83" s="1" t="s">
        <v>35</v>
      </c>
      <c r="C83" s="1" t="s">
        <v>0</v>
      </c>
      <c r="D83" s="1" t="s">
        <v>51</v>
      </c>
      <c r="E83" s="1" t="s">
        <v>52</v>
      </c>
    </row>
    <row r="84" spans="2:14">
      <c r="B84" s="2" t="s">
        <v>53</v>
      </c>
      <c r="C84" s="2" t="s">
        <v>2</v>
      </c>
      <c r="D84" s="2" t="s">
        <v>13</v>
      </c>
      <c r="E84" s="2">
        <v>25000</v>
      </c>
    </row>
    <row r="85" spans="2:14">
      <c r="B85" s="2" t="s">
        <v>54</v>
      </c>
      <c r="C85" s="2" t="s">
        <v>3</v>
      </c>
      <c r="D85" s="2" t="s">
        <v>55</v>
      </c>
      <c r="E85" s="2">
        <v>30000</v>
      </c>
    </row>
    <row r="86" spans="2:14">
      <c r="B86" s="2" t="s">
        <v>56</v>
      </c>
      <c r="C86" s="2" t="s">
        <v>4</v>
      </c>
      <c r="D86" s="2" t="s">
        <v>57</v>
      </c>
      <c r="E86" s="2">
        <v>40000</v>
      </c>
    </row>
    <row r="87" spans="2:14">
      <c r="B87" s="2" t="s">
        <v>58</v>
      </c>
      <c r="C87" s="2" t="s">
        <v>6</v>
      </c>
      <c r="D87" s="2" t="s">
        <v>59</v>
      </c>
      <c r="E87" s="2">
        <v>35000</v>
      </c>
    </row>
    <row r="88" spans="2:14">
      <c r="B88" s="2" t="s">
        <v>60</v>
      </c>
      <c r="C88" s="2" t="s">
        <v>5</v>
      </c>
      <c r="D88" s="2" t="s">
        <v>13</v>
      </c>
      <c r="E88" s="2">
        <v>28000</v>
      </c>
    </row>
    <row r="93" spans="2:14">
      <c r="H93" s="1" t="s">
        <v>61</v>
      </c>
      <c r="I93" s="1" t="s">
        <v>0</v>
      </c>
      <c r="J93" s="3" t="s">
        <v>64</v>
      </c>
      <c r="K93" s="3" t="s">
        <v>65</v>
      </c>
      <c r="N93" t="s">
        <v>62</v>
      </c>
    </row>
    <row r="94" spans="2:14">
      <c r="H94" s="2" t="s">
        <v>56</v>
      </c>
      <c r="I94" s="2" t="str">
        <f>VLOOKUP(B86,B84:E88,2,FALSE)</f>
        <v>Simran</v>
      </c>
      <c r="J94" t="str">
        <f>VLOOKUP(B86,B84:E88,3,FALSE)</f>
        <v>IT</v>
      </c>
      <c r="K94">
        <f>VLOOKUP(B86,B84:E88,4,FALSE)</f>
        <v>40000</v>
      </c>
      <c r="N94" t="s">
        <v>63</v>
      </c>
    </row>
    <row r="95" spans="2:14">
      <c r="H95" t="s">
        <v>58</v>
      </c>
      <c r="I95" t="str">
        <f>VLOOKUP(B87,B84:E88,2,FALSE)</f>
        <v>Priya</v>
      </c>
      <c r="J95" t="str">
        <f>VLOOKUP(B87,B84:E88,3,FALSE)</f>
        <v>Finance</v>
      </c>
      <c r="K95">
        <f>VLOOKUP(B87,B84:E88,4,FALSE)</f>
        <v>35000</v>
      </c>
    </row>
    <row r="96" spans="2:14">
      <c r="H96" t="s">
        <v>60</v>
      </c>
      <c r="I96" t="str">
        <f>VLOOKUP($B$88,$B$84:$E$88,2,FALSE)</f>
        <v>Karan</v>
      </c>
      <c r="J96" t="str">
        <f>VLOOKUP(C88,C84:F88,2,FALSE)</f>
        <v>Sales</v>
      </c>
      <c r="K96">
        <f>VLOOKUP(D88,D84:G88,2,FALSE)</f>
        <v>25000</v>
      </c>
    </row>
    <row r="100" spans="2:3">
      <c r="B100" s="1" t="s">
        <v>35</v>
      </c>
      <c r="C100" s="1" t="s">
        <v>0</v>
      </c>
    </row>
    <row r="101" spans="2:3">
      <c r="B101" s="2" t="s">
        <v>53</v>
      </c>
      <c r="C101" s="2" t="s">
        <v>2</v>
      </c>
    </row>
    <row r="102" spans="2:3">
      <c r="B102" s="2" t="s">
        <v>54</v>
      </c>
      <c r="C102" s="2" t="s">
        <v>3</v>
      </c>
    </row>
    <row r="103" spans="2:3">
      <c r="B103" s="2" t="s">
        <v>56</v>
      </c>
      <c r="C103" s="2" t="s">
        <v>4</v>
      </c>
    </row>
    <row r="104" spans="2:3">
      <c r="B104" s="1" t="s">
        <v>61</v>
      </c>
      <c r="C104" s="1" t="s">
        <v>0</v>
      </c>
    </row>
    <row r="105" spans="2:3">
      <c r="B105" s="2" t="s">
        <v>66</v>
      </c>
      <c r="C105" s="2" t="str">
        <f>IFERROR(VLOOKUP(B108,B101:C103,2,FALSE),"Not found")</f>
        <v>Not found</v>
      </c>
    </row>
    <row r="115" spans="2:9">
      <c r="B115" s="1" t="s">
        <v>12</v>
      </c>
      <c r="C115" s="1" t="s">
        <v>51</v>
      </c>
      <c r="D115" s="1" t="s">
        <v>13</v>
      </c>
    </row>
    <row r="116" spans="2:9">
      <c r="B116" s="2" t="s">
        <v>2</v>
      </c>
      <c r="C116" s="2" t="s">
        <v>13</v>
      </c>
      <c r="D116" s="2">
        <v>10000</v>
      </c>
    </row>
    <row r="117" spans="2:9">
      <c r="B117" s="2" t="s">
        <v>3</v>
      </c>
      <c r="C117" s="2" t="s">
        <v>55</v>
      </c>
      <c r="D117" s="2">
        <v>15000</v>
      </c>
    </row>
    <row r="118" spans="2:9">
      <c r="B118" s="2" t="s">
        <v>4</v>
      </c>
      <c r="C118" s="2" t="s">
        <v>57</v>
      </c>
      <c r="D118" s="2">
        <v>20000</v>
      </c>
    </row>
    <row r="119" spans="2:9">
      <c r="B119" s="2" t="s">
        <v>2</v>
      </c>
      <c r="C119" s="2" t="s">
        <v>13</v>
      </c>
      <c r="D119" s="2">
        <v>12000</v>
      </c>
    </row>
    <row r="120" spans="2:9">
      <c r="B120" s="2" t="s">
        <v>3</v>
      </c>
      <c r="C120" s="2" t="s">
        <v>55</v>
      </c>
      <c r="D120" s="2">
        <v>18000</v>
      </c>
    </row>
    <row r="121" spans="2:9">
      <c r="B121" s="2" t="s">
        <v>4</v>
      </c>
      <c r="C121" s="2" t="s">
        <v>57</v>
      </c>
      <c r="D121" s="2">
        <v>25000</v>
      </c>
    </row>
    <row r="122" spans="2:9">
      <c r="B122" s="2" t="s">
        <v>2</v>
      </c>
      <c r="C122" s="2" t="s">
        <v>13</v>
      </c>
      <c r="D122" s="2">
        <v>15000</v>
      </c>
      <c r="H122" s="6" t="s">
        <v>67</v>
      </c>
      <c r="I122" t="s">
        <v>69</v>
      </c>
    </row>
    <row r="123" spans="2:9">
      <c r="H123" s="7" t="s">
        <v>55</v>
      </c>
      <c r="I123" s="19">
        <v>33000</v>
      </c>
    </row>
    <row r="124" spans="2:9">
      <c r="H124" s="7" t="s">
        <v>57</v>
      </c>
      <c r="I124" s="19">
        <v>45000</v>
      </c>
    </row>
    <row r="125" spans="2:9">
      <c r="H125" s="7" t="s">
        <v>13</v>
      </c>
      <c r="I125" s="19">
        <v>37000</v>
      </c>
    </row>
    <row r="126" spans="2:9">
      <c r="H126" s="7" t="s">
        <v>68</v>
      </c>
      <c r="I126" s="19">
        <v>115000</v>
      </c>
    </row>
    <row r="132" spans="2:9">
      <c r="B132" s="1" t="s">
        <v>12</v>
      </c>
      <c r="C132" s="1" t="s">
        <v>51</v>
      </c>
      <c r="D132" s="1" t="s">
        <v>13</v>
      </c>
    </row>
    <row r="133" spans="2:9">
      <c r="B133" s="2" t="s">
        <v>2</v>
      </c>
      <c r="C133" s="2" t="s">
        <v>13</v>
      </c>
      <c r="D133" s="2">
        <v>10000</v>
      </c>
    </row>
    <row r="134" spans="2:9">
      <c r="B134" s="2" t="s">
        <v>3</v>
      </c>
      <c r="C134" s="2" t="s">
        <v>55</v>
      </c>
      <c r="D134" s="2">
        <v>15000</v>
      </c>
    </row>
    <row r="135" spans="2:9">
      <c r="B135" s="2" t="s">
        <v>4</v>
      </c>
      <c r="C135" s="2" t="s">
        <v>57</v>
      </c>
      <c r="D135" s="2">
        <v>20000</v>
      </c>
    </row>
    <row r="136" spans="2:9">
      <c r="B136" s="2" t="s">
        <v>2</v>
      </c>
      <c r="C136" s="2" t="s">
        <v>13</v>
      </c>
      <c r="D136" s="2">
        <v>12000</v>
      </c>
    </row>
    <row r="137" spans="2:9">
      <c r="B137" s="2" t="s">
        <v>3</v>
      </c>
      <c r="C137" s="2" t="s">
        <v>55</v>
      </c>
      <c r="D137" s="2">
        <v>18000</v>
      </c>
    </row>
    <row r="138" spans="2:9">
      <c r="B138" s="2" t="s">
        <v>4</v>
      </c>
      <c r="C138" s="2" t="s">
        <v>57</v>
      </c>
      <c r="D138" s="2">
        <v>25000</v>
      </c>
    </row>
    <row r="139" spans="2:9">
      <c r="B139" s="2" t="s">
        <v>2</v>
      </c>
      <c r="C139" s="2" t="s">
        <v>13</v>
      </c>
      <c r="D139" s="2">
        <v>15000</v>
      </c>
      <c r="H139" s="6" t="s">
        <v>67</v>
      </c>
      <c r="I139" t="s">
        <v>70</v>
      </c>
    </row>
    <row r="140" spans="2:9">
      <c r="H140" s="7" t="s">
        <v>55</v>
      </c>
      <c r="I140" s="19">
        <v>2</v>
      </c>
    </row>
    <row r="141" spans="2:9">
      <c r="H141" s="7" t="s">
        <v>57</v>
      </c>
      <c r="I141" s="19">
        <v>2</v>
      </c>
    </row>
    <row r="142" spans="2:9">
      <c r="H142" s="7" t="s">
        <v>13</v>
      </c>
      <c r="I142" s="19">
        <v>3</v>
      </c>
    </row>
    <row r="143" spans="2:9">
      <c r="H143" s="7" t="s">
        <v>68</v>
      </c>
      <c r="I143" s="19">
        <v>7</v>
      </c>
    </row>
    <row r="145" spans="2:18">
      <c r="B145" s="6" t="s">
        <v>67</v>
      </c>
      <c r="C145" t="s">
        <v>72</v>
      </c>
    </row>
    <row r="146" spans="2:18">
      <c r="B146" s="7" t="s">
        <v>55</v>
      </c>
      <c r="C146" s="19">
        <v>18000</v>
      </c>
      <c r="H146" s="6" t="s">
        <v>67</v>
      </c>
      <c r="I146" t="s">
        <v>71</v>
      </c>
    </row>
    <row r="147" spans="2:18">
      <c r="B147" s="7" t="s">
        <v>57</v>
      </c>
      <c r="C147" s="19">
        <v>25000</v>
      </c>
      <c r="H147" s="7" t="s">
        <v>55</v>
      </c>
      <c r="I147" s="19">
        <v>16500</v>
      </c>
    </row>
    <row r="148" spans="2:18">
      <c r="B148" s="7" t="s">
        <v>13</v>
      </c>
      <c r="C148" s="19">
        <v>15000</v>
      </c>
      <c r="H148" s="7" t="s">
        <v>57</v>
      </c>
      <c r="I148" s="19">
        <v>22500</v>
      </c>
    </row>
    <row r="149" spans="2:18">
      <c r="B149" s="7" t="s">
        <v>68</v>
      </c>
      <c r="C149" s="19">
        <v>25000</v>
      </c>
      <c r="H149" s="7" t="s">
        <v>13</v>
      </c>
      <c r="I149" s="19">
        <v>12333.333333333334</v>
      </c>
    </row>
    <row r="150" spans="2:18">
      <c r="H150" s="7" t="s">
        <v>68</v>
      </c>
      <c r="I150" s="19">
        <v>16428.571428571428</v>
      </c>
    </row>
    <row r="152" spans="2:18">
      <c r="B152" s="1" t="s">
        <v>89</v>
      </c>
      <c r="C152" s="9" t="s">
        <v>90</v>
      </c>
      <c r="D152" s="9" t="s">
        <v>91</v>
      </c>
      <c r="E152" s="11" t="s">
        <v>95</v>
      </c>
    </row>
    <row r="153" spans="2:18">
      <c r="B153" s="2" t="s">
        <v>92</v>
      </c>
      <c r="C153" s="8">
        <v>2</v>
      </c>
      <c r="D153" s="8">
        <v>50000</v>
      </c>
      <c r="E153">
        <f>C153*D153</f>
        <v>100000</v>
      </c>
    </row>
    <row r="154" spans="2:18">
      <c r="B154" s="2" t="s">
        <v>93</v>
      </c>
      <c r="C154" s="8">
        <v>5</v>
      </c>
      <c r="D154" s="8">
        <v>500</v>
      </c>
      <c r="E154">
        <f>C154*D154</f>
        <v>2500</v>
      </c>
    </row>
    <row r="155" spans="2:18">
      <c r="B155" s="2" t="s">
        <v>94</v>
      </c>
      <c r="C155" s="8">
        <v>3</v>
      </c>
      <c r="D155" s="8">
        <v>1200</v>
      </c>
      <c r="E155">
        <f>C155*D155</f>
        <v>3600</v>
      </c>
    </row>
    <row r="157" spans="2:18">
      <c r="L157" s="12">
        <v>0.18</v>
      </c>
    </row>
    <row r="158" spans="2:18">
      <c r="I158" s="1" t="s">
        <v>89</v>
      </c>
      <c r="J158" s="9" t="s">
        <v>91</v>
      </c>
      <c r="K158" s="3" t="s">
        <v>98</v>
      </c>
      <c r="Q158" s="3" t="s">
        <v>101</v>
      </c>
      <c r="R158" s="12">
        <v>0.12</v>
      </c>
    </row>
    <row r="159" spans="2:18" ht="28.8">
      <c r="B159" s="1" t="s">
        <v>89</v>
      </c>
      <c r="C159" s="9" t="s">
        <v>90</v>
      </c>
      <c r="D159" s="9" t="s">
        <v>91</v>
      </c>
      <c r="E159" s="9" t="s">
        <v>95</v>
      </c>
      <c r="I159" s="2" t="s">
        <v>92</v>
      </c>
      <c r="J159" s="8">
        <v>50000</v>
      </c>
      <c r="K159">
        <f>J159*(1+$L$157)</f>
        <v>59000</v>
      </c>
      <c r="O159" s="1" t="s">
        <v>12</v>
      </c>
      <c r="P159" s="9" t="s">
        <v>100</v>
      </c>
      <c r="Q159" s="3" t="s">
        <v>102</v>
      </c>
    </row>
    <row r="160" spans="2:18">
      <c r="B160" s="2" t="s">
        <v>92</v>
      </c>
      <c r="C160" s="8">
        <v>2</v>
      </c>
      <c r="D160" s="8">
        <v>50000</v>
      </c>
      <c r="E160" s="8">
        <f>C160*D160</f>
        <v>100000</v>
      </c>
      <c r="I160" s="2" t="s">
        <v>93</v>
      </c>
      <c r="J160" s="8">
        <v>500</v>
      </c>
      <c r="K160">
        <f>J160*(1+$L$157)</f>
        <v>590</v>
      </c>
      <c r="O160" s="2" t="s">
        <v>75</v>
      </c>
      <c r="P160" s="8">
        <v>25000</v>
      </c>
      <c r="Q160">
        <f>P160*(1+$R$158)</f>
        <v>28000.000000000004</v>
      </c>
    </row>
    <row r="161" spans="2:18">
      <c r="B161" s="2" t="s">
        <v>93</v>
      </c>
      <c r="C161" s="8">
        <v>5</v>
      </c>
      <c r="D161" s="8">
        <v>500</v>
      </c>
      <c r="E161" s="8">
        <f>C161*D161</f>
        <v>2500</v>
      </c>
      <c r="I161" s="2" t="s">
        <v>94</v>
      </c>
      <c r="J161" s="8">
        <v>1200</v>
      </c>
      <c r="K161">
        <f>J161*(1+$L$157)</f>
        <v>1416</v>
      </c>
      <c r="O161" s="2" t="s">
        <v>78</v>
      </c>
      <c r="P161" s="8">
        <v>32000</v>
      </c>
      <c r="Q161">
        <f>P161*(1+$R$158)</f>
        <v>35840</v>
      </c>
    </row>
    <row r="162" spans="2:18">
      <c r="B162" s="2" t="s">
        <v>94</v>
      </c>
      <c r="C162" s="8">
        <v>3</v>
      </c>
      <c r="D162" s="8">
        <v>1200</v>
      </c>
      <c r="E162" s="8">
        <f>C162*D162</f>
        <v>3600</v>
      </c>
      <c r="O162" s="2" t="s">
        <v>81</v>
      </c>
      <c r="P162" s="8">
        <v>28000</v>
      </c>
      <c r="Q162">
        <f>P162*(1+$R$158)</f>
        <v>31360.000000000004</v>
      </c>
    </row>
    <row r="163" spans="2:18">
      <c r="B163" s="2" t="s">
        <v>96</v>
      </c>
      <c r="C163" s="8">
        <v>2</v>
      </c>
      <c r="D163" s="8">
        <v>15000</v>
      </c>
      <c r="E163" s="8">
        <f>C163*D163</f>
        <v>30000</v>
      </c>
      <c r="O163" s="2" t="s">
        <v>6</v>
      </c>
      <c r="P163" s="8">
        <v>35000</v>
      </c>
      <c r="Q163">
        <f>P163*(1+$R$158)</f>
        <v>39200.000000000007</v>
      </c>
    </row>
    <row r="164" spans="2:18">
      <c r="B164" s="2" t="s">
        <v>97</v>
      </c>
      <c r="C164" s="8">
        <v>1</v>
      </c>
      <c r="D164" s="8">
        <v>8000</v>
      </c>
      <c r="E164" s="8">
        <f>C164*D164</f>
        <v>8000</v>
      </c>
      <c r="O164" s="2" t="s">
        <v>5</v>
      </c>
      <c r="P164" s="8">
        <v>45000</v>
      </c>
      <c r="Q164">
        <f>P164*(1+$R$158)</f>
        <v>50400.000000000007</v>
      </c>
    </row>
    <row r="167" spans="2:18">
      <c r="I167" s="1" t="s">
        <v>89</v>
      </c>
      <c r="J167" s="9" t="s">
        <v>91</v>
      </c>
      <c r="K167" s="3" t="s">
        <v>99</v>
      </c>
      <c r="O167" s="1" t="s">
        <v>103</v>
      </c>
      <c r="P167" s="9" t="s">
        <v>13</v>
      </c>
      <c r="Q167" s="3" t="s">
        <v>109</v>
      </c>
    </row>
    <row r="168" spans="2:18">
      <c r="B168" s="1" t="s">
        <v>119</v>
      </c>
      <c r="I168" s="2" t="s">
        <v>92</v>
      </c>
      <c r="J168" s="8">
        <v>50000</v>
      </c>
      <c r="K168">
        <f>J168*(1+$L$157)</f>
        <v>59000</v>
      </c>
      <c r="O168" s="2" t="s">
        <v>104</v>
      </c>
      <c r="P168" s="8">
        <v>50000</v>
      </c>
      <c r="Q168">
        <f>SUM(P168:P172)</f>
        <v>286000</v>
      </c>
      <c r="R168" t="s">
        <v>111</v>
      </c>
    </row>
    <row r="169" spans="2:18">
      <c r="B169" s="2">
        <v>100</v>
      </c>
      <c r="I169" s="2" t="s">
        <v>93</v>
      </c>
      <c r="J169" s="8">
        <v>500</v>
      </c>
      <c r="K169">
        <f>J169*(1+$L$157)</f>
        <v>590</v>
      </c>
      <c r="O169" s="2" t="s">
        <v>105</v>
      </c>
      <c r="P169" s="8">
        <v>62000</v>
      </c>
    </row>
    <row r="170" spans="2:18">
      <c r="B170" s="2" t="s">
        <v>120</v>
      </c>
      <c r="I170" s="2" t="s">
        <v>94</v>
      </c>
      <c r="J170" s="8">
        <v>1200</v>
      </c>
      <c r="K170">
        <f>J170*(1+$L$157)</f>
        <v>1416</v>
      </c>
      <c r="O170" s="2" t="s">
        <v>106</v>
      </c>
      <c r="P170" s="8">
        <v>48000</v>
      </c>
    </row>
    <row r="171" spans="2:18">
      <c r="B171" s="2">
        <v>250</v>
      </c>
      <c r="C171" s="3">
        <f>COUNT(B169:B174)</f>
        <v>3</v>
      </c>
      <c r="D171" s="3" t="s">
        <v>9</v>
      </c>
      <c r="I171" s="2" t="s">
        <v>96</v>
      </c>
      <c r="J171" s="8">
        <v>15000</v>
      </c>
      <c r="K171">
        <f>J171*(1+$L$157)</f>
        <v>17700</v>
      </c>
      <c r="O171" s="2" t="s">
        <v>107</v>
      </c>
      <c r="P171" s="8">
        <v>71000</v>
      </c>
    </row>
    <row r="172" spans="2:18">
      <c r="B172" s="2" t="s">
        <v>121</v>
      </c>
      <c r="C172" s="3">
        <f>COUNTA(B169:B174)</f>
        <v>5</v>
      </c>
      <c r="D172" s="3" t="s">
        <v>122</v>
      </c>
      <c r="I172" s="2" t="s">
        <v>97</v>
      </c>
      <c r="J172" s="8">
        <v>8000</v>
      </c>
      <c r="K172">
        <f>J172*(1+$L$157)</f>
        <v>9440</v>
      </c>
      <c r="O172" s="2" t="s">
        <v>108</v>
      </c>
      <c r="P172" s="8">
        <v>55000</v>
      </c>
    </row>
    <row r="173" spans="2:18">
      <c r="B173" s="14"/>
      <c r="O173" s="13" t="s">
        <v>110</v>
      </c>
      <c r="P173">
        <f>SUM(P168:P172)</f>
        <v>286000</v>
      </c>
    </row>
    <row r="174" spans="2:18">
      <c r="B174" s="2">
        <v>500</v>
      </c>
    </row>
    <row r="176" spans="2:18">
      <c r="D176" s="1" t="s">
        <v>12</v>
      </c>
      <c r="E176" s="9" t="s">
        <v>52</v>
      </c>
      <c r="H176" s="1" t="s">
        <v>113</v>
      </c>
      <c r="I176" s="9" t="s">
        <v>1</v>
      </c>
      <c r="N176" s="1" t="s">
        <v>89</v>
      </c>
      <c r="O176" s="9" t="s">
        <v>13</v>
      </c>
      <c r="Q176" s="3" t="s">
        <v>88</v>
      </c>
      <c r="R176" t="s">
        <v>118</v>
      </c>
    </row>
    <row r="177" spans="2:25">
      <c r="D177" s="2" t="s">
        <v>75</v>
      </c>
      <c r="E177" s="8">
        <v>25000</v>
      </c>
      <c r="H177" s="2" t="s">
        <v>2</v>
      </c>
      <c r="I177" s="8">
        <v>85</v>
      </c>
      <c r="N177" s="2" t="s">
        <v>92</v>
      </c>
      <c r="O177" s="8">
        <v>85000</v>
      </c>
      <c r="Q177" s="3" t="s">
        <v>95</v>
      </c>
      <c r="R177">
        <f>SUM(O177:O181)</f>
        <v>195000</v>
      </c>
    </row>
    <row r="178" spans="2:25">
      <c r="D178" s="2" t="s">
        <v>78</v>
      </c>
      <c r="E178" s="8">
        <v>32000</v>
      </c>
      <c r="H178" s="2" t="s">
        <v>78</v>
      </c>
      <c r="I178" s="8">
        <v>76</v>
      </c>
      <c r="N178" s="2" t="s">
        <v>93</v>
      </c>
      <c r="O178" s="8">
        <v>12000</v>
      </c>
      <c r="Q178" s="3" t="s">
        <v>115</v>
      </c>
      <c r="R178">
        <f>AVERAGE(O177:O181)</f>
        <v>39000</v>
      </c>
    </row>
    <row r="179" spans="2:25">
      <c r="D179" s="2" t="s">
        <v>81</v>
      </c>
      <c r="E179" s="8">
        <v>28000</v>
      </c>
      <c r="H179" s="2" t="s">
        <v>81</v>
      </c>
      <c r="I179" s="8">
        <v>90</v>
      </c>
      <c r="N179" s="2" t="s">
        <v>94</v>
      </c>
      <c r="O179" s="8">
        <v>25000</v>
      </c>
      <c r="Q179" s="3" t="s">
        <v>116</v>
      </c>
      <c r="R179">
        <f>MAX(O177:O181)</f>
        <v>85000</v>
      </c>
    </row>
    <row r="180" spans="2:25">
      <c r="D180" s="2" t="s">
        <v>6</v>
      </c>
      <c r="E180" s="8">
        <v>35000</v>
      </c>
      <c r="F180" s="3" t="s">
        <v>112</v>
      </c>
      <c r="H180" s="2" t="s">
        <v>6</v>
      </c>
      <c r="I180" s="8">
        <v>88</v>
      </c>
      <c r="N180" s="2" t="s">
        <v>96</v>
      </c>
      <c r="O180" s="8">
        <v>55000</v>
      </c>
      <c r="Q180" s="3" t="s">
        <v>117</v>
      </c>
      <c r="R180">
        <f>MIN(O177:O181)</f>
        <v>12000</v>
      </c>
    </row>
    <row r="181" spans="2:25">
      <c r="D181" s="2" t="s">
        <v>5</v>
      </c>
      <c r="E181" s="8">
        <v>45000</v>
      </c>
      <c r="F181">
        <f>AVERAGE(E177:E181)</f>
        <v>33000</v>
      </c>
      <c r="H181" s="2" t="s">
        <v>5</v>
      </c>
      <c r="I181" s="8">
        <v>81</v>
      </c>
      <c r="J181" s="3" t="s">
        <v>115</v>
      </c>
      <c r="K181">
        <f>AVERAGE(I177:I181)</f>
        <v>84</v>
      </c>
      <c r="N181" s="2" t="s">
        <v>97</v>
      </c>
      <c r="O181" s="8">
        <v>18000</v>
      </c>
    </row>
    <row r="182" spans="2:25">
      <c r="H182" s="13" t="s">
        <v>114</v>
      </c>
      <c r="I182">
        <f>SUM(I177:I181)</f>
        <v>420</v>
      </c>
    </row>
    <row r="185" spans="2:25">
      <c r="B185" s="1" t="s">
        <v>12</v>
      </c>
      <c r="C185" s="1" t="s">
        <v>123</v>
      </c>
      <c r="D185" s="9" t="s">
        <v>52</v>
      </c>
    </row>
    <row r="186" spans="2:25">
      <c r="B186" s="2" t="s">
        <v>75</v>
      </c>
      <c r="C186" s="15">
        <v>45292</v>
      </c>
      <c r="D186" s="8">
        <v>25000</v>
      </c>
      <c r="H186" s="1" t="s">
        <v>12</v>
      </c>
      <c r="I186" s="1" t="s">
        <v>51</v>
      </c>
      <c r="J186" s="3" t="s">
        <v>126</v>
      </c>
      <c r="K186" s="3" t="s">
        <v>127</v>
      </c>
      <c r="L186" s="3" t="s">
        <v>128</v>
      </c>
      <c r="N186" s="1" t="s">
        <v>12</v>
      </c>
      <c r="O186" s="9" t="s">
        <v>52</v>
      </c>
    </row>
    <row r="187" spans="2:25">
      <c r="B187" s="2" t="s">
        <v>78</v>
      </c>
      <c r="C187" s="15">
        <v>44972</v>
      </c>
      <c r="D187" s="8">
        <v>32000</v>
      </c>
      <c r="H187" s="2" t="s">
        <v>75</v>
      </c>
      <c r="I187" s="2" t="s">
        <v>13</v>
      </c>
      <c r="J187">
        <f>COUNTIF(I187:I193,"sales")</f>
        <v>3</v>
      </c>
      <c r="K187">
        <f>COUNTIF(I187:I193,"IT")</f>
        <v>2</v>
      </c>
      <c r="L187">
        <f>COUNTIF(I187:I193,"HR")</f>
        <v>1</v>
      </c>
      <c r="N187" s="2" t="s">
        <v>75</v>
      </c>
      <c r="O187" s="8">
        <v>25000</v>
      </c>
      <c r="P187">
        <f>COUNTIF(O187:O191,25000)</f>
        <v>3</v>
      </c>
      <c r="R187" s="1" t="s">
        <v>12</v>
      </c>
      <c r="S187" s="9" t="s">
        <v>52</v>
      </c>
      <c r="T187" s="16" t="s">
        <v>133</v>
      </c>
      <c r="V187" s="1" t="s">
        <v>12</v>
      </c>
      <c r="W187" s="9" t="s">
        <v>134</v>
      </c>
      <c r="X187" s="16" t="s">
        <v>135</v>
      </c>
    </row>
    <row r="188" spans="2:25">
      <c r="B188" s="2" t="s">
        <v>81</v>
      </c>
      <c r="C188" s="14"/>
      <c r="D188" s="8">
        <v>28000</v>
      </c>
      <c r="H188" s="2" t="s">
        <v>78</v>
      </c>
      <c r="I188" s="2" t="s">
        <v>55</v>
      </c>
      <c r="N188" s="2" t="s">
        <v>78</v>
      </c>
      <c r="O188" s="8">
        <v>35000</v>
      </c>
      <c r="R188" s="2" t="s">
        <v>75</v>
      </c>
      <c r="S188" s="8">
        <v>25000</v>
      </c>
      <c r="T188" t="str">
        <f>IF(S188&gt;=30000,"Senior","junior")</f>
        <v>junior</v>
      </c>
      <c r="V188" s="2" t="s">
        <v>75</v>
      </c>
      <c r="W188" s="8">
        <v>96</v>
      </c>
      <c r="X188" t="str">
        <f>IF(W188&gt;=90,"Bonus","No Bonus")</f>
        <v>Bonus</v>
      </c>
      <c r="Y188" t="str">
        <f>IF(AND(W188&gt;=90,X188="Bonus"),"eligble","not")</f>
        <v>eligble</v>
      </c>
    </row>
    <row r="189" spans="2:25">
      <c r="B189" s="2" t="s">
        <v>6</v>
      </c>
      <c r="C189" s="15">
        <v>44640</v>
      </c>
      <c r="D189" s="8">
        <v>35000</v>
      </c>
      <c r="H189" s="2" t="s">
        <v>81</v>
      </c>
      <c r="I189" s="2" t="s">
        <v>57</v>
      </c>
      <c r="N189" s="2" t="s">
        <v>81</v>
      </c>
      <c r="O189" s="8">
        <v>25000</v>
      </c>
      <c r="R189" s="2" t="s">
        <v>78</v>
      </c>
      <c r="S189" s="8">
        <v>32000</v>
      </c>
      <c r="T189" t="str">
        <f>IF(S189&gt;=30000,"Senior","junior")</f>
        <v>Senior</v>
      </c>
      <c r="V189" s="2" t="s">
        <v>78</v>
      </c>
      <c r="W189" s="8">
        <v>82</v>
      </c>
      <c r="X189" t="str">
        <f>IF(W189&gt;=90,"Bonus","No Bonus")</f>
        <v>No Bonus</v>
      </c>
      <c r="Y189" t="str">
        <f>IF(AND(W189&gt;=90,X189="Bonus"),"eligble","not")</f>
        <v>not</v>
      </c>
    </row>
    <row r="190" spans="2:25">
      <c r="B190" s="2" t="s">
        <v>5</v>
      </c>
      <c r="C190" s="15">
        <v>44296</v>
      </c>
      <c r="D190" s="8">
        <v>45000</v>
      </c>
      <c r="H190" s="2" t="s">
        <v>6</v>
      </c>
      <c r="I190" s="2" t="s">
        <v>13</v>
      </c>
      <c r="N190" s="2" t="s">
        <v>6</v>
      </c>
      <c r="O190" s="8">
        <v>45000</v>
      </c>
      <c r="R190" s="2" t="s">
        <v>81</v>
      </c>
      <c r="S190" s="8">
        <v>18000</v>
      </c>
      <c r="T190" t="str">
        <f>IF(S190&gt;=30000,"Senior","junior")</f>
        <v>junior</v>
      </c>
      <c r="V190" s="2" t="s">
        <v>81</v>
      </c>
      <c r="W190" s="8">
        <v>68</v>
      </c>
      <c r="X190" t="str">
        <f>IF(W190&gt;=90,"Bonus","No Bonus")</f>
        <v>No Bonus</v>
      </c>
      <c r="Y190" t="str">
        <f t="shared" ref="Y189:Y192" si="0">IF(AND(W190&gt;=90,X190="Bonus"),"eligble","not")</f>
        <v>not</v>
      </c>
    </row>
    <row r="191" spans="2:25">
      <c r="H191" s="2" t="s">
        <v>5</v>
      </c>
      <c r="I191" s="2" t="s">
        <v>86</v>
      </c>
      <c r="N191" s="2" t="s">
        <v>5</v>
      </c>
      <c r="O191" s="8">
        <v>25000</v>
      </c>
      <c r="R191" s="2" t="s">
        <v>6</v>
      </c>
      <c r="S191" s="8">
        <v>45000</v>
      </c>
      <c r="T191" t="str">
        <f>IF(S191&gt;=30000,"Senior","junior")</f>
        <v>Senior</v>
      </c>
      <c r="V191" s="2" t="s">
        <v>6</v>
      </c>
      <c r="W191" s="8">
        <v>91</v>
      </c>
      <c r="X191" t="str">
        <f>IF(W191&gt;=90,"Bonus","No Bonus")</f>
        <v>Bonus</v>
      </c>
      <c r="Y191" t="str">
        <f t="shared" si="0"/>
        <v>eligble</v>
      </c>
    </row>
    <row r="192" spans="2:25">
      <c r="C192" s="3" t="s">
        <v>9</v>
      </c>
      <c r="D192">
        <f>COUNT(C186:C190)</f>
        <v>4</v>
      </c>
      <c r="H192" s="2" t="s">
        <v>4</v>
      </c>
      <c r="I192" s="2" t="s">
        <v>13</v>
      </c>
      <c r="R192" s="2" t="s">
        <v>5</v>
      </c>
      <c r="S192" s="8">
        <v>15000</v>
      </c>
      <c r="T192" t="str">
        <f>IF(S192&gt;=30000,"Senior","junior")</f>
        <v>junior</v>
      </c>
      <c r="V192" s="2" t="s">
        <v>5</v>
      </c>
      <c r="W192" s="8">
        <v>74</v>
      </c>
      <c r="X192" t="str">
        <f>IF(W192&gt;=90,"Bonus","No Bonus")</f>
        <v>No Bonus</v>
      </c>
      <c r="Y192" t="str">
        <f t="shared" si="0"/>
        <v>not</v>
      </c>
    </row>
    <row r="193" spans="2:24">
      <c r="C193" s="3" t="s">
        <v>124</v>
      </c>
      <c r="D193">
        <f>COUNTA(C186:C190)</f>
        <v>4</v>
      </c>
      <c r="H193" s="2" t="s">
        <v>125</v>
      </c>
      <c r="I193" s="2" t="s">
        <v>57</v>
      </c>
    </row>
    <row r="194" spans="2:24">
      <c r="X194" t="str">
        <f t="shared" ref="X194:X195" si="1">IF(AND(W189&gt;=90,X189="Bonus"),"eligble","not")</f>
        <v>not</v>
      </c>
    </row>
    <row r="195" spans="2:24">
      <c r="B195" s="1" t="s">
        <v>89</v>
      </c>
      <c r="C195" s="9" t="s">
        <v>13</v>
      </c>
      <c r="X195" t="str">
        <f t="shared" si="1"/>
        <v>not</v>
      </c>
    </row>
    <row r="196" spans="2:24">
      <c r="B196" s="2" t="s">
        <v>92</v>
      </c>
      <c r="C196" s="8">
        <v>50000</v>
      </c>
      <c r="D196" s="3" t="s">
        <v>129</v>
      </c>
      <c r="E196" s="3" t="s">
        <v>130</v>
      </c>
      <c r="F196" s="3" t="s">
        <v>131</v>
      </c>
    </row>
    <row r="197" spans="2:24">
      <c r="B197" s="2" t="s">
        <v>93</v>
      </c>
      <c r="C197" s="8">
        <v>12000</v>
      </c>
      <c r="D197">
        <f>SUMIF(B196:B202,"Laptop",C196:C202)</f>
        <v>125000</v>
      </c>
      <c r="E197">
        <f>SUMIF(B196:B202,"Mouse",C196:C202)</f>
        <v>20000</v>
      </c>
      <c r="F197">
        <f>SUMIF(B196:B202,"keyboard",C196:C202)</f>
        <v>40000</v>
      </c>
      <c r="I197" s="1" t="s">
        <v>12</v>
      </c>
      <c r="J197" s="1" t="s">
        <v>51</v>
      </c>
      <c r="K197" s="9" t="s">
        <v>52</v>
      </c>
    </row>
    <row r="198" spans="2:24">
      <c r="B198" s="2" t="s">
        <v>92</v>
      </c>
      <c r="C198" s="8">
        <v>35000</v>
      </c>
      <c r="I198" s="2" t="s">
        <v>75</v>
      </c>
      <c r="J198" s="2" t="s">
        <v>13</v>
      </c>
      <c r="K198" s="8">
        <v>25000</v>
      </c>
      <c r="L198" s="3" t="s">
        <v>13</v>
      </c>
      <c r="M198" s="3" t="s">
        <v>55</v>
      </c>
      <c r="N198" s="3" t="s">
        <v>59</v>
      </c>
    </row>
    <row r="199" spans="2:24">
      <c r="B199" s="2" t="s">
        <v>94</v>
      </c>
      <c r="C199" s="8">
        <v>18000</v>
      </c>
      <c r="I199" s="2" t="s">
        <v>78</v>
      </c>
      <c r="J199" s="2" t="s">
        <v>55</v>
      </c>
      <c r="K199" s="8">
        <v>32000</v>
      </c>
      <c r="L199">
        <f>SUMIF(J198:J203,"sales",K198:K203)</f>
        <v>98000</v>
      </c>
      <c r="M199">
        <f>SUMIF(J198:J203,"HR",K198:K203)</f>
        <v>62000</v>
      </c>
      <c r="N199">
        <f>SUMIF(J198:J203,"finance",K198:K203)</f>
        <v>35000</v>
      </c>
    </row>
    <row r="200" spans="2:24">
      <c r="B200" s="2" t="s">
        <v>92</v>
      </c>
      <c r="C200" s="8">
        <v>40000</v>
      </c>
      <c r="I200" s="2" t="s">
        <v>81</v>
      </c>
      <c r="J200" s="2" t="s">
        <v>13</v>
      </c>
      <c r="K200" s="8">
        <v>28000</v>
      </c>
    </row>
    <row r="201" spans="2:24">
      <c r="B201" s="2" t="s">
        <v>93</v>
      </c>
      <c r="C201" s="8">
        <v>8000</v>
      </c>
      <c r="D201" s="1" t="s">
        <v>113</v>
      </c>
      <c r="E201" s="9" t="s">
        <v>1</v>
      </c>
      <c r="F201" s="3" t="s">
        <v>132</v>
      </c>
      <c r="I201" s="2" t="s">
        <v>6</v>
      </c>
      <c r="J201" s="2" t="s">
        <v>59</v>
      </c>
      <c r="K201" s="8">
        <v>35000</v>
      </c>
    </row>
    <row r="202" spans="2:24">
      <c r="B202" s="2" t="s">
        <v>94</v>
      </c>
      <c r="C202" s="8">
        <v>22000</v>
      </c>
      <c r="D202" s="2" t="s">
        <v>2</v>
      </c>
      <c r="E202" s="8">
        <v>85</v>
      </c>
      <c r="F202" t="str">
        <f>IF(E202&gt;=70,"pass","Fail")</f>
        <v>pass</v>
      </c>
      <c r="I202" s="2" t="s">
        <v>5</v>
      </c>
      <c r="J202" s="2" t="s">
        <v>13</v>
      </c>
      <c r="K202" s="8">
        <v>45000</v>
      </c>
    </row>
    <row r="203" spans="2:24">
      <c r="D203" s="2" t="s">
        <v>78</v>
      </c>
      <c r="E203" s="8">
        <v>72</v>
      </c>
      <c r="F203" t="str">
        <f>IF(E203&gt;=70,"pass","Fail")</f>
        <v>pass</v>
      </c>
      <c r="I203" s="2" t="s">
        <v>4</v>
      </c>
      <c r="J203" s="2" t="s">
        <v>55</v>
      </c>
      <c r="K203" s="8">
        <v>30000</v>
      </c>
    </row>
    <row r="204" spans="2:24">
      <c r="D204" s="2" t="s">
        <v>81</v>
      </c>
      <c r="E204" s="8">
        <v>90</v>
      </c>
      <c r="F204" t="str">
        <f>IF(E204&gt;=70,"pass","Fail")</f>
        <v>pass</v>
      </c>
    </row>
    <row r="205" spans="2:24">
      <c r="D205" s="2" t="s">
        <v>6</v>
      </c>
      <c r="E205" s="8">
        <v>65</v>
      </c>
      <c r="F205" t="str">
        <f>IF(E205&gt;=70,"pass","Fail")</f>
        <v>Fail</v>
      </c>
    </row>
    <row r="206" spans="2:24">
      <c r="D206" s="2" t="s">
        <v>5</v>
      </c>
      <c r="E206" s="8">
        <v>81</v>
      </c>
      <c r="F206" t="str">
        <f>IF(E206&gt;=70,"pass","Fail")</f>
        <v>pass</v>
      </c>
    </row>
    <row r="211" spans="2:13">
      <c r="B211" s="1" t="s">
        <v>12</v>
      </c>
      <c r="C211" s="1" t="s">
        <v>51</v>
      </c>
      <c r="D211" s="9" t="s">
        <v>52</v>
      </c>
      <c r="E211" s="1" t="s">
        <v>73</v>
      </c>
    </row>
    <row r="212" spans="2:13">
      <c r="B212" s="2" t="s">
        <v>75</v>
      </c>
      <c r="C212" s="2" t="s">
        <v>13</v>
      </c>
      <c r="D212" s="8">
        <v>35000</v>
      </c>
      <c r="E212" s="2" t="s">
        <v>136</v>
      </c>
      <c r="G212">
        <f>COUNTIFS(C212:C217,"sales",D212:D217,"&gt;=30000",E212:E217,"bangalore")</f>
        <v>2</v>
      </c>
      <c r="I212" s="17" t="s">
        <v>12</v>
      </c>
      <c r="J212" s="17" t="s">
        <v>51</v>
      </c>
      <c r="K212" s="17" t="s">
        <v>52</v>
      </c>
      <c r="L212" s="17" t="s">
        <v>73</v>
      </c>
      <c r="M212" s="17" t="s">
        <v>138</v>
      </c>
    </row>
    <row r="213" spans="2:13">
      <c r="B213" s="2" t="s">
        <v>78</v>
      </c>
      <c r="C213" s="2" t="s">
        <v>55</v>
      </c>
      <c r="D213" s="8">
        <v>40000</v>
      </c>
      <c r="E213" s="2" t="s">
        <v>136</v>
      </c>
      <c r="F213">
        <f>SUMIF(C212:C217,"sales",D212:D217)</f>
        <v>147000</v>
      </c>
      <c r="I213" s="18" t="s">
        <v>75</v>
      </c>
      <c r="J213" s="18" t="s">
        <v>13</v>
      </c>
      <c r="K213" s="18">
        <v>35000</v>
      </c>
      <c r="L213" s="18" t="s">
        <v>136</v>
      </c>
      <c r="M213" s="18">
        <v>5</v>
      </c>
    </row>
    <row r="214" spans="2:13">
      <c r="B214" s="2" t="s">
        <v>81</v>
      </c>
      <c r="C214" s="2" t="s">
        <v>13</v>
      </c>
      <c r="D214" s="8">
        <v>35000</v>
      </c>
      <c r="E214" s="2" t="s">
        <v>84</v>
      </c>
      <c r="F214">
        <f>SUMIFS(D212:D217,C212:C217,"sales",E212:E217,"bangalore")</f>
        <v>80000</v>
      </c>
      <c r="I214" s="18" t="s">
        <v>78</v>
      </c>
      <c r="J214" s="18" t="s">
        <v>55</v>
      </c>
      <c r="K214" s="18">
        <v>40000</v>
      </c>
      <c r="L214" s="18" t="s">
        <v>136</v>
      </c>
      <c r="M214" s="18">
        <v>7</v>
      </c>
    </row>
    <row r="215" spans="2:13">
      <c r="B215" s="2" t="s">
        <v>6</v>
      </c>
      <c r="C215" s="2" t="s">
        <v>13</v>
      </c>
      <c r="D215" s="8">
        <v>45000</v>
      </c>
      <c r="E215" s="2" t="s">
        <v>136</v>
      </c>
      <c r="I215" s="18" t="s">
        <v>81</v>
      </c>
      <c r="J215" s="18" t="s">
        <v>13</v>
      </c>
      <c r="K215" s="18">
        <v>35000</v>
      </c>
      <c r="L215" s="18" t="s">
        <v>84</v>
      </c>
      <c r="M215" s="18">
        <v>6</v>
      </c>
    </row>
    <row r="216" spans="2:13">
      <c r="B216" s="2" t="s">
        <v>5</v>
      </c>
      <c r="C216" s="2" t="s">
        <v>57</v>
      </c>
      <c r="D216" s="8">
        <v>50000</v>
      </c>
      <c r="E216" s="2" t="s">
        <v>136</v>
      </c>
      <c r="I216" s="18" t="s">
        <v>6</v>
      </c>
      <c r="J216" s="18" t="s">
        <v>13</v>
      </c>
      <c r="K216" s="18">
        <v>45000</v>
      </c>
      <c r="L216" s="18" t="s">
        <v>136</v>
      </c>
      <c r="M216" s="18">
        <v>4</v>
      </c>
    </row>
    <row r="217" spans="2:13">
      <c r="B217" s="2" t="s">
        <v>4</v>
      </c>
      <c r="C217" s="2" t="s">
        <v>13</v>
      </c>
      <c r="D217" s="8">
        <v>32000</v>
      </c>
      <c r="E217" s="2" t="s">
        <v>137</v>
      </c>
      <c r="I217" s="18" t="s">
        <v>5</v>
      </c>
      <c r="J217" s="18" t="s">
        <v>57</v>
      </c>
      <c r="K217" s="18">
        <v>50000</v>
      </c>
      <c r="L217" s="18" t="s">
        <v>136</v>
      </c>
      <c r="M217" s="18">
        <v>8</v>
      </c>
    </row>
    <row r="218" spans="2:13">
      <c r="I218" s="18" t="s">
        <v>4</v>
      </c>
      <c r="J218" s="18" t="s">
        <v>13</v>
      </c>
      <c r="K218" s="18">
        <v>32000</v>
      </c>
      <c r="L218" s="18" t="s">
        <v>137</v>
      </c>
      <c r="M218" s="18">
        <v>5</v>
      </c>
    </row>
    <row r="221" spans="2:13">
      <c r="B221" s="9" t="s">
        <v>35</v>
      </c>
      <c r="C221" s="1" t="s">
        <v>0</v>
      </c>
      <c r="D221" s="1" t="s">
        <v>51</v>
      </c>
      <c r="E221" s="9" t="s">
        <v>52</v>
      </c>
      <c r="J221">
        <f>SUMIFS(K213:K218,J213:J218,"sales",L213:L218,"bangalore",M213:M218,"&gt;=5")</f>
        <v>35000</v>
      </c>
    </row>
    <row r="222" spans="2:13">
      <c r="B222" s="8">
        <v>101</v>
      </c>
      <c r="C222" s="2" t="s">
        <v>75</v>
      </c>
      <c r="D222" s="2" t="s">
        <v>13</v>
      </c>
      <c r="E222" s="8">
        <v>35000</v>
      </c>
    </row>
    <row r="223" spans="2:13">
      <c r="B223" s="8">
        <v>102</v>
      </c>
      <c r="C223" s="2" t="s">
        <v>78</v>
      </c>
      <c r="D223" s="2" t="s">
        <v>55</v>
      </c>
      <c r="E223" s="8">
        <v>40000</v>
      </c>
    </row>
    <row r="224" spans="2:13">
      <c r="B224" s="8">
        <v>103</v>
      </c>
      <c r="C224" s="2" t="s">
        <v>81</v>
      </c>
      <c r="D224" s="2" t="s">
        <v>57</v>
      </c>
      <c r="E224" s="8">
        <v>45000</v>
      </c>
    </row>
    <row r="225" spans="2:12">
      <c r="B225" s="8">
        <v>104</v>
      </c>
      <c r="C225" s="2" t="s">
        <v>6</v>
      </c>
      <c r="D225" s="2" t="s">
        <v>13</v>
      </c>
      <c r="E225" s="8">
        <v>50000</v>
      </c>
      <c r="F225">
        <f>VLOOKUP(B224,B222:E225,4,FALSE)</f>
        <v>45000</v>
      </c>
    </row>
    <row r="226" spans="2:12">
      <c r="I226" s="1" t="s">
        <v>139</v>
      </c>
      <c r="J226" s="1" t="s">
        <v>51</v>
      </c>
      <c r="K226" s="1" t="s">
        <v>73</v>
      </c>
      <c r="L226" s="9" t="s">
        <v>13</v>
      </c>
    </row>
    <row r="227" spans="2:12">
      <c r="I227" s="2" t="s">
        <v>75</v>
      </c>
      <c r="J227" s="2" t="s">
        <v>140</v>
      </c>
      <c r="K227" s="2" t="s">
        <v>136</v>
      </c>
      <c r="L227" s="8">
        <v>50000</v>
      </c>
    </row>
    <row r="228" spans="2:12">
      <c r="B228" s="9" t="s">
        <v>35</v>
      </c>
      <c r="C228" s="1" t="s">
        <v>0</v>
      </c>
      <c r="D228" s="1" t="s">
        <v>51</v>
      </c>
      <c r="E228" s="9" t="s">
        <v>52</v>
      </c>
      <c r="I228" s="2" t="s">
        <v>78</v>
      </c>
      <c r="J228" s="2" t="s">
        <v>141</v>
      </c>
      <c r="K228" s="2" t="s">
        <v>136</v>
      </c>
      <c r="L228" s="8">
        <v>30000</v>
      </c>
    </row>
    <row r="229" spans="2:12">
      <c r="B229" s="8">
        <v>101</v>
      </c>
      <c r="C229" s="2" t="s">
        <v>75</v>
      </c>
      <c r="D229" s="2" t="s">
        <v>13</v>
      </c>
      <c r="E229" s="8">
        <v>35000</v>
      </c>
      <c r="I229" s="2" t="s">
        <v>81</v>
      </c>
      <c r="J229" s="2" t="s">
        <v>140</v>
      </c>
      <c r="K229" s="2" t="s">
        <v>84</v>
      </c>
      <c r="L229" s="8">
        <v>45000</v>
      </c>
    </row>
    <row r="230" spans="2:12">
      <c r="B230" s="8">
        <v>102</v>
      </c>
      <c r="C230" s="2" t="s">
        <v>78</v>
      </c>
      <c r="D230" s="2" t="s">
        <v>55</v>
      </c>
      <c r="E230" s="8">
        <v>40000</v>
      </c>
      <c r="I230" s="2" t="s">
        <v>6</v>
      </c>
      <c r="J230" s="2" t="s">
        <v>140</v>
      </c>
      <c r="K230" s="2" t="s">
        <v>136</v>
      </c>
      <c r="L230" s="8">
        <v>55000</v>
      </c>
    </row>
    <row r="231" spans="2:12">
      <c r="B231" s="8">
        <v>103</v>
      </c>
      <c r="C231" s="2" t="s">
        <v>81</v>
      </c>
      <c r="D231" s="2" t="s">
        <v>57</v>
      </c>
      <c r="E231" s="8">
        <v>45000</v>
      </c>
      <c r="F231">
        <f>VLOOKUP(104,B229:E232,4,FALSE)</f>
        <v>50000</v>
      </c>
      <c r="I231" s="2" t="s">
        <v>5</v>
      </c>
      <c r="J231" s="2" t="s">
        <v>141</v>
      </c>
      <c r="K231" s="2" t="s">
        <v>137</v>
      </c>
      <c r="L231" s="8">
        <v>40000</v>
      </c>
    </row>
    <row r="232" spans="2:12">
      <c r="B232" s="8">
        <v>104</v>
      </c>
      <c r="C232" s="2" t="s">
        <v>6</v>
      </c>
      <c r="D232" s="2" t="s">
        <v>13</v>
      </c>
      <c r="E232" s="8">
        <v>50000</v>
      </c>
      <c r="I232" s="2" t="s">
        <v>4</v>
      </c>
      <c r="J232" s="2" t="s">
        <v>140</v>
      </c>
      <c r="K232" s="2" t="s">
        <v>84</v>
      </c>
      <c r="L232" s="8">
        <v>35000</v>
      </c>
    </row>
    <row r="234" spans="2:12">
      <c r="E234" s="3" t="str">
        <f>IFERROR(VLOOKUP(B233,A2:D5,4,FALSE),"NOT FOUND")</f>
        <v>NOT FOUND</v>
      </c>
      <c r="J234" s="2"/>
    </row>
    <row r="236" spans="2:12">
      <c r="B236" s="3" t="s">
        <v>174</v>
      </c>
    </row>
    <row r="238" spans="2:12">
      <c r="B238" s="1" t="s">
        <v>12</v>
      </c>
      <c r="C238" s="1" t="s">
        <v>51</v>
      </c>
      <c r="D238" s="1" t="s">
        <v>73</v>
      </c>
      <c r="E238" s="9" t="s">
        <v>52</v>
      </c>
    </row>
    <row r="239" spans="2:12">
      <c r="B239" s="2" t="s">
        <v>75</v>
      </c>
      <c r="C239" s="2" t="s">
        <v>13</v>
      </c>
      <c r="D239" s="2" t="s">
        <v>136</v>
      </c>
      <c r="E239" s="8">
        <v>35000</v>
      </c>
    </row>
    <row r="240" spans="2:12">
      <c r="B240" s="2" t="s">
        <v>78</v>
      </c>
      <c r="C240" s="2" t="s">
        <v>55</v>
      </c>
      <c r="D240" s="2" t="s">
        <v>136</v>
      </c>
      <c r="E240" s="8">
        <v>40000</v>
      </c>
    </row>
    <row r="241" spans="2:10">
      <c r="B241" s="2" t="s">
        <v>81</v>
      </c>
      <c r="C241" s="2" t="s">
        <v>57</v>
      </c>
      <c r="D241" s="2" t="s">
        <v>84</v>
      </c>
      <c r="E241" s="8">
        <v>45000</v>
      </c>
      <c r="I241" s="6" t="s">
        <v>67</v>
      </c>
      <c r="J241" t="s">
        <v>142</v>
      </c>
    </row>
    <row r="242" spans="2:10">
      <c r="B242" s="2" t="s">
        <v>6</v>
      </c>
      <c r="C242" s="2" t="s">
        <v>13</v>
      </c>
      <c r="D242" s="2" t="s">
        <v>136</v>
      </c>
      <c r="E242" s="8">
        <v>50000</v>
      </c>
      <c r="I242" s="7" t="s">
        <v>136</v>
      </c>
      <c r="J242" s="19">
        <v>150000</v>
      </c>
    </row>
    <row r="243" spans="2:10">
      <c r="B243" s="2" t="s">
        <v>5</v>
      </c>
      <c r="C243" s="2" t="s">
        <v>55</v>
      </c>
      <c r="D243" s="2" t="s">
        <v>137</v>
      </c>
      <c r="E243" s="8">
        <v>30000</v>
      </c>
      <c r="I243" s="7" t="s">
        <v>137</v>
      </c>
      <c r="J243" s="19">
        <v>30000</v>
      </c>
    </row>
    <row r="244" spans="2:10">
      <c r="B244" s="2" t="s">
        <v>4</v>
      </c>
      <c r="C244" s="2" t="s">
        <v>57</v>
      </c>
      <c r="D244" s="2" t="s">
        <v>84</v>
      </c>
      <c r="E244" s="8">
        <v>55000</v>
      </c>
      <c r="I244" s="7" t="s">
        <v>84</v>
      </c>
      <c r="J244" s="19">
        <v>160000</v>
      </c>
    </row>
    <row r="245" spans="2:10">
      <c r="B245" s="20" t="s">
        <v>143</v>
      </c>
      <c r="C245" s="20" t="s">
        <v>13</v>
      </c>
      <c r="D245" s="20" t="s">
        <v>136</v>
      </c>
      <c r="E245" s="21">
        <v>20000</v>
      </c>
      <c r="I245" s="7" t="s">
        <v>68</v>
      </c>
      <c r="J245" s="19">
        <v>340000</v>
      </c>
    </row>
    <row r="246" spans="2:10">
      <c r="B246" s="2" t="s">
        <v>144</v>
      </c>
      <c r="C246" s="2" t="s">
        <v>57</v>
      </c>
      <c r="D246" s="2" t="s">
        <v>84</v>
      </c>
      <c r="E246" s="8">
        <v>55000</v>
      </c>
    </row>
    <row r="247" spans="2:10">
      <c r="B247" s="20" t="s">
        <v>146</v>
      </c>
      <c r="C247" s="20" t="s">
        <v>13</v>
      </c>
      <c r="D247" s="20" t="s">
        <v>136</v>
      </c>
      <c r="E247" s="21">
        <v>5000</v>
      </c>
    </row>
    <row r="248" spans="2:10">
      <c r="B248" s="2" t="s">
        <v>147</v>
      </c>
      <c r="C248" s="2" t="s">
        <v>57</v>
      </c>
      <c r="D248" s="2" t="s">
        <v>84</v>
      </c>
      <c r="E248" s="8">
        <v>5000</v>
      </c>
    </row>
    <row r="249" spans="2:10">
      <c r="B249" s="2"/>
      <c r="C249" s="2"/>
      <c r="D249" s="2"/>
    </row>
    <row r="250" spans="2:10">
      <c r="B250" s="2"/>
      <c r="C250" s="2"/>
      <c r="D250" s="2"/>
      <c r="E250" s="8"/>
    </row>
    <row r="251" spans="2:10">
      <c r="B251" s="2"/>
      <c r="C251" s="2"/>
      <c r="D251" s="2"/>
    </row>
    <row r="252" spans="2:10">
      <c r="B252" s="2"/>
      <c r="C252" s="2"/>
      <c r="D252" s="2"/>
      <c r="E252" s="8"/>
    </row>
    <row r="253" spans="2:10">
      <c r="B253" s="2"/>
      <c r="C253" s="2"/>
      <c r="D253" s="2"/>
      <c r="E253" s="8"/>
    </row>
    <row r="257" spans="2:12">
      <c r="F257" s="6" t="s">
        <v>67</v>
      </c>
      <c r="G257" t="s">
        <v>142</v>
      </c>
    </row>
    <row r="258" spans="2:12">
      <c r="F258" s="7" t="s">
        <v>136</v>
      </c>
      <c r="G258" s="19">
        <v>150000</v>
      </c>
    </row>
    <row r="259" spans="2:12">
      <c r="F259" s="7" t="s">
        <v>137</v>
      </c>
      <c r="G259" s="19">
        <v>30000</v>
      </c>
    </row>
    <row r="260" spans="2:12">
      <c r="F260" s="7" t="s">
        <v>84</v>
      </c>
      <c r="G260" s="19">
        <v>160000</v>
      </c>
    </row>
    <row r="261" spans="2:12">
      <c r="F261" s="7" t="s">
        <v>68</v>
      </c>
      <c r="G261" s="19">
        <v>340000</v>
      </c>
    </row>
    <row r="270" spans="2:12" ht="15" thickBot="1">
      <c r="B270" s="22" t="s">
        <v>148</v>
      </c>
    </row>
    <row r="271" spans="2:12" ht="15" thickBot="1">
      <c r="J271" s="33" t="s">
        <v>13</v>
      </c>
      <c r="L271" s="34" t="s">
        <v>13</v>
      </c>
    </row>
    <row r="272" spans="2:12" ht="15" thickBot="1">
      <c r="B272" s="23" t="s">
        <v>12</v>
      </c>
      <c r="C272" s="24" t="s">
        <v>52</v>
      </c>
      <c r="E272" s="28" t="s">
        <v>12</v>
      </c>
      <c r="G272" s="28" t="s">
        <v>12</v>
      </c>
      <c r="H272" s="31" t="s">
        <v>13</v>
      </c>
      <c r="J272" s="32">
        <v>55000</v>
      </c>
      <c r="L272" s="35">
        <v>55000</v>
      </c>
    </row>
    <row r="273" spans="2:14" ht="15" thickBot="1">
      <c r="B273" s="25" t="s">
        <v>75</v>
      </c>
      <c r="C273" s="26">
        <v>35000</v>
      </c>
      <c r="E273" s="30" t="s">
        <v>75</v>
      </c>
      <c r="G273" s="30" t="s">
        <v>75</v>
      </c>
      <c r="H273" s="32">
        <v>25000</v>
      </c>
      <c r="J273" s="32">
        <v>50000</v>
      </c>
      <c r="L273" s="35">
        <v>50000</v>
      </c>
    </row>
    <row r="274" spans="2:14" ht="15" thickBot="1">
      <c r="B274" s="25" t="s">
        <v>78</v>
      </c>
      <c r="C274" s="26">
        <v>40000</v>
      </c>
      <c r="E274" s="30" t="s">
        <v>78</v>
      </c>
      <c r="G274" s="30" t="s">
        <v>78</v>
      </c>
      <c r="H274" s="32">
        <v>60000</v>
      </c>
      <c r="J274" s="32">
        <v>45000</v>
      </c>
      <c r="L274" s="35">
        <v>45000</v>
      </c>
    </row>
    <row r="275" spans="2:14" ht="15" thickBot="1">
      <c r="B275" s="25" t="s">
        <v>81</v>
      </c>
      <c r="C275" s="26">
        <v>65000</v>
      </c>
      <c r="E275" s="30" t="s">
        <v>81</v>
      </c>
      <c r="G275" s="30" t="s">
        <v>81</v>
      </c>
      <c r="H275" s="32">
        <v>45000</v>
      </c>
      <c r="J275" s="32">
        <v>40000</v>
      </c>
      <c r="L275" s="35">
        <v>40000</v>
      </c>
    </row>
    <row r="276" spans="2:14" ht="15" thickBot="1">
      <c r="B276" s="25" t="s">
        <v>6</v>
      </c>
      <c r="C276" s="26">
        <v>52000</v>
      </c>
      <c r="E276" s="30" t="s">
        <v>75</v>
      </c>
      <c r="G276" s="30" t="s">
        <v>6</v>
      </c>
      <c r="H276" s="32">
        <v>80000</v>
      </c>
      <c r="J276" s="32">
        <v>35000</v>
      </c>
      <c r="L276" s="35">
        <v>35000</v>
      </c>
    </row>
    <row r="277" spans="2:14" ht="15" thickBot="1">
      <c r="B277" s="25" t="s">
        <v>5</v>
      </c>
      <c r="C277" s="26">
        <v>30000</v>
      </c>
      <c r="E277" s="30" t="s">
        <v>6</v>
      </c>
      <c r="G277" s="30" t="s">
        <v>5</v>
      </c>
      <c r="H277" s="32">
        <v>30000</v>
      </c>
      <c r="J277" s="32">
        <v>30000</v>
      </c>
      <c r="L277" s="35">
        <v>30000</v>
      </c>
    </row>
    <row r="278" spans="2:14" ht="15" thickBot="1">
      <c r="B278" s="25" t="s">
        <v>4</v>
      </c>
      <c r="C278" s="26">
        <v>80000</v>
      </c>
      <c r="E278" s="30" t="s">
        <v>81</v>
      </c>
      <c r="G278" s="30" t="s">
        <v>4</v>
      </c>
      <c r="H278" s="32">
        <v>70000</v>
      </c>
    </row>
    <row r="279" spans="2:14" ht="15" thickBot="1">
      <c r="E279" s="30" t="s">
        <v>4</v>
      </c>
    </row>
    <row r="283" spans="2:14">
      <c r="B283" s="3" t="s">
        <v>149</v>
      </c>
    </row>
    <row r="284" spans="2:14" ht="15" thickBot="1"/>
    <row r="285" spans="2:14" ht="15" thickBot="1">
      <c r="B285" s="28" t="s">
        <v>12</v>
      </c>
      <c r="C285" s="28" t="s">
        <v>51</v>
      </c>
      <c r="D285" s="31" t="s">
        <v>52</v>
      </c>
      <c r="G285" s="1" t="s">
        <v>12</v>
      </c>
      <c r="H285" s="1" t="s">
        <v>51</v>
      </c>
      <c r="I285" s="9" t="s">
        <v>52</v>
      </c>
      <c r="K285" s="1" t="s">
        <v>12</v>
      </c>
      <c r="L285" s="1" t="s">
        <v>51</v>
      </c>
      <c r="M285" s="1" t="s">
        <v>73</v>
      </c>
      <c r="N285" s="9" t="s">
        <v>52</v>
      </c>
    </row>
    <row r="286" spans="2:14" ht="15" thickBot="1">
      <c r="B286" s="30" t="s">
        <v>75</v>
      </c>
      <c r="C286" s="30" t="s">
        <v>13</v>
      </c>
      <c r="D286" s="32">
        <v>35000</v>
      </c>
      <c r="G286" s="30" t="s">
        <v>75</v>
      </c>
      <c r="H286" s="30" t="s">
        <v>13</v>
      </c>
      <c r="I286" s="32">
        <v>35000</v>
      </c>
      <c r="K286" s="30" t="s">
        <v>75</v>
      </c>
      <c r="L286" s="30" t="s">
        <v>13</v>
      </c>
      <c r="M286" s="30" t="s">
        <v>136</v>
      </c>
      <c r="N286" s="32">
        <v>35000</v>
      </c>
    </row>
    <row r="287" spans="2:14" ht="15" thickBot="1">
      <c r="B287" s="30" t="s">
        <v>78</v>
      </c>
      <c r="C287" s="30" t="s">
        <v>55</v>
      </c>
      <c r="D287" s="32">
        <v>40000</v>
      </c>
      <c r="G287" s="30" t="s">
        <v>78</v>
      </c>
      <c r="H287" s="30" t="s">
        <v>55</v>
      </c>
      <c r="I287" s="32">
        <v>40000</v>
      </c>
      <c r="K287" s="30" t="s">
        <v>78</v>
      </c>
      <c r="L287" s="30" t="s">
        <v>55</v>
      </c>
      <c r="M287" s="30" t="s">
        <v>136</v>
      </c>
      <c r="N287" s="32">
        <v>40000</v>
      </c>
    </row>
    <row r="288" spans="2:14" ht="15" thickBot="1">
      <c r="B288" s="30" t="s">
        <v>81</v>
      </c>
      <c r="C288" s="30" t="s">
        <v>57</v>
      </c>
      <c r="D288" s="32">
        <v>65000</v>
      </c>
      <c r="G288" s="30" t="s">
        <v>81</v>
      </c>
      <c r="H288" s="30" t="s">
        <v>57</v>
      </c>
      <c r="I288" s="32">
        <v>65000</v>
      </c>
      <c r="K288" s="30" t="s">
        <v>81</v>
      </c>
      <c r="L288" s="30" t="s">
        <v>57</v>
      </c>
      <c r="M288" s="30" t="s">
        <v>84</v>
      </c>
      <c r="N288" s="32">
        <v>65000</v>
      </c>
    </row>
    <row r="289" spans="2:14" ht="15" thickBot="1">
      <c r="B289" s="30" t="s">
        <v>6</v>
      </c>
      <c r="C289" s="30" t="s">
        <v>13</v>
      </c>
      <c r="D289" s="32">
        <v>52000</v>
      </c>
      <c r="G289" s="30" t="s">
        <v>6</v>
      </c>
      <c r="H289" s="30" t="s">
        <v>13</v>
      </c>
      <c r="I289" s="32">
        <v>52000</v>
      </c>
      <c r="K289" s="30" t="s">
        <v>6</v>
      </c>
      <c r="L289" s="30" t="s">
        <v>13</v>
      </c>
      <c r="M289" s="30" t="s">
        <v>136</v>
      </c>
      <c r="N289" s="32">
        <v>52000</v>
      </c>
    </row>
    <row r="290" spans="2:14" ht="15" thickBot="1">
      <c r="B290" s="30" t="s">
        <v>5</v>
      </c>
      <c r="C290" s="30" t="s">
        <v>55</v>
      </c>
      <c r="D290" s="32">
        <v>30000</v>
      </c>
    </row>
    <row r="291" spans="2:14" ht="15" thickBot="1">
      <c r="B291" s="30" t="s">
        <v>4</v>
      </c>
      <c r="C291" s="30" t="s">
        <v>57</v>
      </c>
      <c r="D291" s="32">
        <v>80000</v>
      </c>
    </row>
    <row r="295" spans="2:14" ht="15" thickBot="1">
      <c r="B295" s="3" t="s">
        <v>150</v>
      </c>
      <c r="E295" s="3" t="s">
        <v>152</v>
      </c>
      <c r="H295" s="3" t="s">
        <v>153</v>
      </c>
      <c r="K295" s="3" t="s">
        <v>154</v>
      </c>
    </row>
    <row r="296" spans="2:14" ht="15" thickBot="1">
      <c r="B296" s="28" t="s">
        <v>12</v>
      </c>
      <c r="C296" s="28" t="s">
        <v>51</v>
      </c>
      <c r="E296" s="1" t="s">
        <v>12</v>
      </c>
      <c r="F296" s="9" t="s">
        <v>151</v>
      </c>
      <c r="H296" s="1" t="s">
        <v>12</v>
      </c>
      <c r="I296" s="1" t="s">
        <v>123</v>
      </c>
      <c r="K296" s="9" t="s">
        <v>35</v>
      </c>
    </row>
    <row r="297" spans="2:14" ht="15" thickBot="1">
      <c r="B297" s="30" t="s">
        <v>75</v>
      </c>
      <c r="C297" s="30" t="s">
        <v>13</v>
      </c>
      <c r="E297" s="2" t="s">
        <v>75</v>
      </c>
      <c r="F297" s="8">
        <v>18</v>
      </c>
      <c r="H297" s="2" t="s">
        <v>75</v>
      </c>
      <c r="I297" s="36">
        <v>46241</v>
      </c>
      <c r="K297" s="8">
        <v>101</v>
      </c>
    </row>
    <row r="298" spans="2:14" ht="15" thickBot="1">
      <c r="B298" s="30" t="s">
        <v>78</v>
      </c>
      <c r="C298" s="30" t="s">
        <v>55</v>
      </c>
      <c r="E298" s="2" t="s">
        <v>78</v>
      </c>
      <c r="F298" s="8">
        <v>29</v>
      </c>
      <c r="H298" s="2" t="s">
        <v>78</v>
      </c>
      <c r="I298" s="36">
        <v>46148</v>
      </c>
      <c r="K298" s="8">
        <v>102</v>
      </c>
    </row>
    <row r="299" spans="2:14" ht="15" thickBot="1">
      <c r="B299" s="30" t="s">
        <v>81</v>
      </c>
      <c r="C299" s="30" t="s">
        <v>57</v>
      </c>
      <c r="E299" s="2" t="s">
        <v>81</v>
      </c>
      <c r="F299" s="8">
        <v>35</v>
      </c>
      <c r="H299" s="2" t="s">
        <v>81</v>
      </c>
      <c r="I299" s="37">
        <v>46160</v>
      </c>
      <c r="K299" s="8">
        <v>103</v>
      </c>
    </row>
    <row r="300" spans="2:14" ht="15" thickBot="1">
      <c r="B300" s="30" t="s">
        <v>6</v>
      </c>
      <c r="C300" s="30" t="s">
        <v>13</v>
      </c>
      <c r="E300" s="2" t="s">
        <v>6</v>
      </c>
      <c r="F300" s="8">
        <v>47</v>
      </c>
      <c r="H300" s="2" t="s">
        <v>6</v>
      </c>
      <c r="I300" s="36">
        <v>46240</v>
      </c>
      <c r="K300" s="8">
        <v>104</v>
      </c>
    </row>
    <row r="301" spans="2:14">
      <c r="F301" s="8"/>
      <c r="K301" s="8">
        <v>105</v>
      </c>
    </row>
    <row r="305" spans="2:14" ht="15" thickBot="1">
      <c r="B305" s="3" t="s">
        <v>157</v>
      </c>
    </row>
    <row r="306" spans="2:14" ht="15" thickBot="1">
      <c r="B306" s="31" t="s">
        <v>155</v>
      </c>
      <c r="C306" s="28" t="s">
        <v>0</v>
      </c>
      <c r="D306" s="28" t="s">
        <v>51</v>
      </c>
      <c r="E306" s="28" t="s">
        <v>73</v>
      </c>
      <c r="F306" s="31" t="s">
        <v>52</v>
      </c>
      <c r="G306" s="31" t="s">
        <v>156</v>
      </c>
      <c r="H306" s="28" t="s">
        <v>123</v>
      </c>
      <c r="I306" s="43" t="s">
        <v>164</v>
      </c>
      <c r="J306" s="43" t="s">
        <v>165</v>
      </c>
      <c r="K306" s="43" t="s">
        <v>166</v>
      </c>
    </row>
    <row r="307" spans="2:14" ht="15" thickBot="1">
      <c r="B307" s="46" t="s">
        <v>167</v>
      </c>
      <c r="C307" s="47" t="s">
        <v>75</v>
      </c>
      <c r="D307" s="47" t="s">
        <v>13</v>
      </c>
      <c r="E307" s="47" t="s">
        <v>136</v>
      </c>
      <c r="F307" s="48" t="s">
        <v>168</v>
      </c>
      <c r="G307" s="48" t="s">
        <v>169</v>
      </c>
      <c r="H307" s="49" t="s">
        <v>170</v>
      </c>
      <c r="I307" s="29" t="s">
        <v>171</v>
      </c>
      <c r="J307" s="29" t="s">
        <v>172</v>
      </c>
      <c r="K307" s="50" t="s">
        <v>173</v>
      </c>
    </row>
    <row r="308" spans="2:14" ht="15" thickBot="1">
      <c r="B308" s="44">
        <v>102</v>
      </c>
      <c r="C308" s="30" t="s">
        <v>78</v>
      </c>
      <c r="D308" s="30" t="s">
        <v>55</v>
      </c>
      <c r="E308" s="30" t="s">
        <v>136</v>
      </c>
      <c r="F308" s="32">
        <v>42000</v>
      </c>
      <c r="G308" s="32">
        <v>82</v>
      </c>
      <c r="H308" s="42">
        <v>45003</v>
      </c>
      <c r="I308" s="27" t="s">
        <v>55</v>
      </c>
      <c r="J308" s="27">
        <v>19</v>
      </c>
      <c r="K308" s="45">
        <v>45693</v>
      </c>
      <c r="M308" s="58" t="s">
        <v>67</v>
      </c>
      <c r="N308" s="27" t="s">
        <v>142</v>
      </c>
    </row>
    <row r="309" spans="2:14" ht="15" thickBot="1">
      <c r="B309" s="44">
        <v>103</v>
      </c>
      <c r="C309" s="30" t="s">
        <v>81</v>
      </c>
      <c r="D309" s="30" t="s">
        <v>57</v>
      </c>
      <c r="E309" s="30" t="s">
        <v>84</v>
      </c>
      <c r="F309" s="32">
        <v>65000</v>
      </c>
      <c r="G309" s="32">
        <v>91</v>
      </c>
      <c r="H309" s="42">
        <v>44717</v>
      </c>
      <c r="I309" s="27" t="s">
        <v>57</v>
      </c>
      <c r="J309" s="27">
        <v>20</v>
      </c>
      <c r="K309" s="45">
        <v>46088</v>
      </c>
      <c r="M309" s="59" t="s">
        <v>59</v>
      </c>
      <c r="N309" s="60">
        <v>30000</v>
      </c>
    </row>
    <row r="310" spans="2:14" ht="15" thickBot="1">
      <c r="B310" s="44">
        <v>104</v>
      </c>
      <c r="C310" s="30" t="s">
        <v>6</v>
      </c>
      <c r="D310" s="30" t="s">
        <v>13</v>
      </c>
      <c r="E310" s="30" t="s">
        <v>136</v>
      </c>
      <c r="F310" s="32">
        <v>52000</v>
      </c>
      <c r="G310" s="32">
        <v>88</v>
      </c>
      <c r="H310" s="42">
        <v>45698</v>
      </c>
      <c r="I310" s="27" t="s">
        <v>59</v>
      </c>
      <c r="J310" s="27">
        <v>23</v>
      </c>
      <c r="K310" s="45">
        <v>46211</v>
      </c>
      <c r="M310" s="59" t="s">
        <v>55</v>
      </c>
      <c r="N310" s="60">
        <v>42000</v>
      </c>
    </row>
    <row r="311" spans="2:14" ht="15" thickBot="1">
      <c r="B311" s="44">
        <v>105</v>
      </c>
      <c r="C311" s="30" t="s">
        <v>5</v>
      </c>
      <c r="D311" s="30" t="s">
        <v>59</v>
      </c>
      <c r="E311" s="30" t="s">
        <v>137</v>
      </c>
      <c r="F311" s="32">
        <v>30000</v>
      </c>
      <c r="G311" s="32">
        <v>97</v>
      </c>
      <c r="H311" s="42">
        <v>44430</v>
      </c>
      <c r="I311" s="27" t="s">
        <v>13</v>
      </c>
      <c r="J311" s="27">
        <v>56</v>
      </c>
      <c r="K311" s="45">
        <v>46243</v>
      </c>
      <c r="M311" s="59" t="s">
        <v>57</v>
      </c>
      <c r="N311" s="60">
        <v>140000</v>
      </c>
    </row>
    <row r="312" spans="2:14" ht="15" thickBot="1">
      <c r="B312" s="51">
        <v>106</v>
      </c>
      <c r="C312" s="52" t="s">
        <v>4</v>
      </c>
      <c r="D312" s="52" t="s">
        <v>57</v>
      </c>
      <c r="E312" s="52" t="s">
        <v>84</v>
      </c>
      <c r="F312" s="53">
        <v>75000</v>
      </c>
      <c r="G312" s="53">
        <v>85</v>
      </c>
      <c r="H312" s="54">
        <v>43935</v>
      </c>
      <c r="I312" s="55" t="s">
        <v>57</v>
      </c>
      <c r="J312" s="55"/>
      <c r="K312" s="56"/>
      <c r="M312" s="59" t="s">
        <v>13</v>
      </c>
      <c r="N312" s="60">
        <v>52000</v>
      </c>
    </row>
    <row r="313" spans="2:14" ht="15" thickBot="1">
      <c r="M313" s="59" t="s">
        <v>68</v>
      </c>
      <c r="N313" s="60">
        <v>264000</v>
      </c>
    </row>
    <row r="314" spans="2:14">
      <c r="D314" s="3" t="s">
        <v>158</v>
      </c>
      <c r="E314" s="39" t="str">
        <f>IFERROR(VLOOKUP(B316,B307:H312,1,FALSE),"Employee Not Found")</f>
        <v>Employee Not Found</v>
      </c>
      <c r="L314" s="40"/>
    </row>
    <row r="323" spans="2:13" ht="15" thickBot="1"/>
    <row r="324" spans="2:13" ht="15" thickBot="1">
      <c r="B324" s="13" t="s">
        <v>159</v>
      </c>
      <c r="C324" s="38">
        <f>COUNTIF(D307:D312,"Sales")</f>
        <v>2</v>
      </c>
      <c r="D324" s="41" t="s">
        <v>162</v>
      </c>
      <c r="E324" s="41" t="s">
        <v>163</v>
      </c>
    </row>
    <row r="325" spans="2:13" ht="15" thickBot="1">
      <c r="B325" s="13" t="s">
        <v>161</v>
      </c>
      <c r="C325" s="38">
        <f>SUMIF(D307:D312,"IT",F307:F312)</f>
        <v>140000</v>
      </c>
      <c r="D325" s="27" t="str">
        <f>IF(F307&gt;=50000,"Senior","Junior")</f>
        <v>Senior</v>
      </c>
      <c r="E325" s="27" t="str">
        <f>IF(AND(F307&gt;=50000,G307&gt;=90),"Bonus","no Bonus")</f>
        <v>Bonus</v>
      </c>
    </row>
    <row r="326" spans="2:13" ht="15" thickBot="1">
      <c r="B326" s="3" t="s">
        <v>160</v>
      </c>
      <c r="C326" s="38" t="str">
        <f>VLOOKUP(B311,B307:H312,4,FALSE)</f>
        <v>Chennai</v>
      </c>
      <c r="D326" s="27" t="str">
        <f>IF(F308&gt;=50000,"Senior","Junior")</f>
        <v>Junior</v>
      </c>
      <c r="E326" s="27" t="str">
        <f>IF(AND(F308&gt;=50000,G308&gt;=90),"Bonus","no Bonus")</f>
        <v>no Bonus</v>
      </c>
    </row>
    <row r="327" spans="2:13" ht="15" thickBot="1">
      <c r="D327" s="27" t="str">
        <f>IF(F309&gt;=50000,"Senior","Junior")</f>
        <v>Senior</v>
      </c>
      <c r="E327" s="27" t="str">
        <f>IF(AND(F309&gt;=50000,G309&gt;=90),"Bonus","no Bonus")</f>
        <v>Bonus</v>
      </c>
    </row>
    <row r="328" spans="2:13" ht="15" thickBot="1">
      <c r="D328" s="27" t="str">
        <f>IF(F310&gt;=50000,"Senior","Junior")</f>
        <v>Senior</v>
      </c>
      <c r="E328" s="27" t="str">
        <f>IF(AND(F310&gt;=50000,G310&gt;=90),"Bonus","no Bonus")</f>
        <v>no Bonus</v>
      </c>
    </row>
    <row r="329" spans="2:13" ht="15" thickBot="1">
      <c r="D329" s="27" t="str">
        <f>IF(F311&gt;=50000,"Senior","Junior")</f>
        <v>Junior</v>
      </c>
      <c r="E329" s="27" t="str">
        <f>IF(AND(F311&gt;=50000,G311&gt;=90),"Bonus","no Bonus")</f>
        <v>no Bonus</v>
      </c>
    </row>
    <row r="330" spans="2:13" ht="15" thickBot="1">
      <c r="D330" s="27" t="str">
        <f>IF(F312&gt;=50000,"Senior","Junior")</f>
        <v>Senior</v>
      </c>
      <c r="E330" s="27" t="str">
        <f>IF(AND(F312&gt;=50000,G312&gt;=90),"Bonus","no Bonus")</f>
        <v>no Bonus</v>
      </c>
    </row>
    <row r="334" spans="2:13" ht="15" thickBot="1"/>
    <row r="335" spans="2:13" ht="15" thickBot="1">
      <c r="C335" s="1" t="s">
        <v>35</v>
      </c>
      <c r="D335" s="1" t="s">
        <v>175</v>
      </c>
      <c r="E335" s="1" t="s">
        <v>176</v>
      </c>
      <c r="F335" s="1" t="s">
        <v>177</v>
      </c>
      <c r="I335" s="28" t="s">
        <v>182</v>
      </c>
      <c r="J335" s="28" t="s">
        <v>183</v>
      </c>
      <c r="K335" s="28" t="s">
        <v>184</v>
      </c>
      <c r="L335" s="28" t="s">
        <v>185</v>
      </c>
      <c r="M335" s="28" t="s">
        <v>186</v>
      </c>
    </row>
    <row r="336" spans="2:13" ht="15" thickBot="1">
      <c r="C336" s="2" t="s">
        <v>178</v>
      </c>
      <c r="D336" s="2" t="str">
        <f>LEFT(C336,3)</f>
        <v>EMP</v>
      </c>
      <c r="E336" s="2" t="str">
        <f>RIGHT(C336,3)</f>
        <v>101</v>
      </c>
      <c r="F336" s="63">
        <f>LEN(C336)</f>
        <v>6</v>
      </c>
      <c r="I336" s="64" t="s">
        <v>187</v>
      </c>
      <c r="J336" s="30" t="str">
        <f>TRIM(I336)</f>
        <v>" amit kumar"</v>
      </c>
      <c r="K336" s="30" t="str">
        <f>UPPER(I336)</f>
        <v>" AMIT KUMAR"</v>
      </c>
      <c r="L336" s="30" t="str">
        <f>LOWER(I336)</f>
        <v>" amit kumar"</v>
      </c>
      <c r="M336" s="30" t="str">
        <f>PROPER(I336)</f>
        <v>" Amit Kumar"</v>
      </c>
    </row>
    <row r="337" spans="3:14" ht="15" thickBot="1">
      <c r="C337" s="2" t="s">
        <v>179</v>
      </c>
      <c r="D337" s="2" t="str">
        <f>LEFT(C337,3)</f>
        <v>EMP</v>
      </c>
      <c r="E337" s="2" t="str">
        <f t="shared" ref="E337:E339" si="2">RIGHT(C337,3)</f>
        <v>102</v>
      </c>
      <c r="F337" s="63">
        <f t="shared" ref="F337:F339" si="3">LEN(C337)</f>
        <v>6</v>
      </c>
      <c r="I337" s="64" t="s">
        <v>188</v>
      </c>
      <c r="J337" s="30" t="str">
        <f>TRIM(I337)</f>
        <v>"RAHUL SHARMA"</v>
      </c>
      <c r="K337" s="30" t="str">
        <f t="shared" ref="K337:K338" si="4">UPPER(I337)</f>
        <v>"RAHUL SHARMA"</v>
      </c>
      <c r="L337" s="30" t="str">
        <f t="shared" ref="L337:L338" si="5">LOWER(I337)</f>
        <v>"rahul sharma"</v>
      </c>
      <c r="M337" s="30" t="str">
        <f t="shared" ref="M337:M338" si="6">PROPER(I337)</f>
        <v>"Rahul Sharma"</v>
      </c>
    </row>
    <row r="338" spans="3:14" ht="15" thickBot="1">
      <c r="C338" s="2" t="s">
        <v>180</v>
      </c>
      <c r="D338" s="2" t="str">
        <f>LEFT(C338,3)</f>
        <v>EMP</v>
      </c>
      <c r="E338" s="2" t="str">
        <f t="shared" si="2"/>
        <v>103</v>
      </c>
      <c r="F338" s="63">
        <f t="shared" si="3"/>
        <v>6</v>
      </c>
      <c r="I338" s="64" t="s">
        <v>189</v>
      </c>
      <c r="J338" s="30" t="str">
        <f t="shared" ref="J338" si="7">TRIM(I338)</f>
        <v>"sIMRan kaUr"</v>
      </c>
      <c r="K338" s="30" t="str">
        <f t="shared" si="4"/>
        <v>"SIMRAN KAUR"</v>
      </c>
      <c r="L338" s="30" t="str">
        <f t="shared" si="5"/>
        <v>"simran kaur"</v>
      </c>
      <c r="M338" s="30" t="str">
        <f t="shared" si="6"/>
        <v>"Simran Kaur"</v>
      </c>
    </row>
    <row r="339" spans="3:14">
      <c r="C339" s="2" t="s">
        <v>181</v>
      </c>
      <c r="D339" s="2" t="str">
        <f t="shared" ref="D339" si="8">LEFT(C339,3)</f>
        <v>EMP</v>
      </c>
      <c r="E339" s="2" t="str">
        <f t="shared" si="2"/>
        <v>104</v>
      </c>
      <c r="F339" s="63">
        <f t="shared" si="3"/>
        <v>6</v>
      </c>
    </row>
    <row r="343" spans="3:14">
      <c r="C343" s="1" t="s">
        <v>38</v>
      </c>
      <c r="D343" s="1" t="s">
        <v>39</v>
      </c>
      <c r="E343" s="65" t="s">
        <v>190</v>
      </c>
      <c r="F343" s="1" t="s">
        <v>191</v>
      </c>
      <c r="G343" s="1" t="s">
        <v>192</v>
      </c>
      <c r="I343" s="1" t="s">
        <v>195</v>
      </c>
      <c r="J343" s="1" t="s">
        <v>196</v>
      </c>
      <c r="K343" s="1" t="s">
        <v>197</v>
      </c>
      <c r="L343" s="1" t="s">
        <v>198</v>
      </c>
      <c r="M343" s="66" t="s">
        <v>199</v>
      </c>
      <c r="N343" s="66" t="s">
        <v>200</v>
      </c>
    </row>
    <row r="344" spans="3:14">
      <c r="C344" s="2" t="s">
        <v>75</v>
      </c>
      <c r="D344" s="2" t="s">
        <v>45</v>
      </c>
      <c r="E344" s="2" t="str">
        <f>C344&amp;" "&amp;D344</f>
        <v>Amit Kumar</v>
      </c>
      <c r="F344" s="2" t="str">
        <f>_xlfn.CONCAT(C344," ",D344)</f>
        <v>Amit Kumar</v>
      </c>
      <c r="G344" s="2" t="str">
        <f>_xlfn.TEXTJOIN(" ",TRUE,C344,D344)</f>
        <v>Amit Kumar</v>
      </c>
      <c r="I344" s="15">
        <v>46245</v>
      </c>
      <c r="J344" s="2">
        <f>YEAR(I344)</f>
        <v>2026</v>
      </c>
      <c r="K344" s="2">
        <f>MONTH(I344)</f>
        <v>8</v>
      </c>
      <c r="L344" s="2">
        <f>DAY(I344)</f>
        <v>11</v>
      </c>
      <c r="M344" s="67">
        <f ca="1">TODAY()</f>
        <v>46251</v>
      </c>
      <c r="N344" s="68">
        <f ca="1">NOW()</f>
        <v>46251.657393402777</v>
      </c>
    </row>
    <row r="345" spans="3:14">
      <c r="C345" s="2" t="s">
        <v>81</v>
      </c>
      <c r="D345" s="2" t="s">
        <v>46</v>
      </c>
      <c r="E345" s="2" t="str">
        <f>C345&amp;" "&amp;D345</f>
        <v>Rahul Sharma</v>
      </c>
      <c r="F345" s="2" t="str">
        <f>_xlfn.CONCAT(C345," ",D345)</f>
        <v>Rahul Sharma</v>
      </c>
      <c r="G345" s="2" t="str">
        <f>_xlfn.TEXTJOIN(" ",TRUE,C345,D345)</f>
        <v>Rahul Sharma</v>
      </c>
      <c r="I345" s="15">
        <v>46016</v>
      </c>
      <c r="J345" s="2">
        <f>YEAR(I345)</f>
        <v>2025</v>
      </c>
      <c r="K345" s="2">
        <f t="shared" ref="K345:K346" si="9">MONTH(I345)</f>
        <v>12</v>
      </c>
      <c r="L345" s="2">
        <f t="shared" ref="L345:L346" si="10">DAY(I345)</f>
        <v>25</v>
      </c>
      <c r="M345" s="67">
        <f t="shared" ref="M345:M346" ca="1" si="11">TODAY()</f>
        <v>46251</v>
      </c>
      <c r="N345" s="68">
        <f t="shared" ref="N345:N346" ca="1" si="12">NOW()</f>
        <v>46251.657393402777</v>
      </c>
    </row>
    <row r="346" spans="3:14">
      <c r="C346" s="2" t="s">
        <v>4</v>
      </c>
      <c r="D346" s="2" t="s">
        <v>193</v>
      </c>
      <c r="E346" s="2" t="str">
        <f>C346&amp;" "&amp;D346</f>
        <v>Simran Kaur</v>
      </c>
      <c r="F346" s="2" t="str">
        <f>_xlfn.CONCAT(C346," ",D346)</f>
        <v>Simran Kaur</v>
      </c>
      <c r="G346" s="2" t="str">
        <f>_xlfn.TEXTJOIN(" ",TRUE,C346,D346)</f>
        <v>Simran Kaur</v>
      </c>
      <c r="I346" s="15">
        <v>45292</v>
      </c>
      <c r="J346" s="2">
        <f>YEAR(I346)</f>
        <v>2024</v>
      </c>
      <c r="K346" s="2">
        <f t="shared" si="9"/>
        <v>1</v>
      </c>
      <c r="L346" s="2">
        <f t="shared" si="10"/>
        <v>1</v>
      </c>
      <c r="M346" s="67">
        <f t="shared" ca="1" si="11"/>
        <v>46251</v>
      </c>
      <c r="N346" s="68">
        <f t="shared" ca="1" si="12"/>
        <v>46251.657393402777</v>
      </c>
    </row>
    <row r="348" spans="3:14">
      <c r="C348" s="2" t="s">
        <v>194</v>
      </c>
      <c r="D348" s="2" t="s">
        <v>145</v>
      </c>
      <c r="E348" t="str">
        <f>C348&amp;"-"&amp;D348</f>
        <v>bangalore-sales</v>
      </c>
      <c r="F348" t="str">
        <f>_xlfn.CONCAT(C348,"-",D348)</f>
        <v>bangalore-sales</v>
      </c>
      <c r="G348" t="str">
        <f>_xlfn.TEXTJOIN(" - ",TRUE,C348,D348)</f>
        <v>bangalore - sales</v>
      </c>
    </row>
    <row r="349" spans="3:14">
      <c r="I349" s="67">
        <v>37044</v>
      </c>
      <c r="J349">
        <f ca="1">DATEDIF(I349,TODAY(),"D")</f>
        <v>9207</v>
      </c>
    </row>
    <row r="351" spans="3:14">
      <c r="C351" s="1" t="s">
        <v>12</v>
      </c>
      <c r="D351" s="1" t="s">
        <v>123</v>
      </c>
      <c r="E351" s="1" t="s">
        <v>201</v>
      </c>
    </row>
    <row r="352" spans="3:14">
      <c r="C352" s="2" t="s">
        <v>75</v>
      </c>
      <c r="D352" s="15">
        <v>43842</v>
      </c>
      <c r="E352" s="2">
        <f ca="1">DATEDIF(D352,TODAY(),"y")</f>
        <v>6</v>
      </c>
    </row>
    <row r="353" spans="2:11">
      <c r="C353" s="2" t="s">
        <v>81</v>
      </c>
      <c r="D353" s="15">
        <v>44788</v>
      </c>
      <c r="E353" s="2">
        <f ca="1">DATEDIF(D353,TODAY(),"y")</f>
        <v>4</v>
      </c>
    </row>
    <row r="354" spans="2:11">
      <c r="C354" s="2" t="s">
        <v>6</v>
      </c>
      <c r="D354" s="15">
        <v>45698</v>
      </c>
      <c r="E354" s="2">
        <f ca="1">DATEDIF(D354,TODAY(),"y")</f>
        <v>1</v>
      </c>
    </row>
    <row r="358" spans="2:11" ht="15" thickBot="1"/>
    <row r="359" spans="2:11" ht="15" thickBot="1">
      <c r="C359" s="1" t="s">
        <v>12</v>
      </c>
      <c r="D359" s="1" t="s">
        <v>123</v>
      </c>
      <c r="E359" s="3" t="s">
        <v>202</v>
      </c>
      <c r="G359" s="28" t="s">
        <v>12</v>
      </c>
      <c r="H359" s="28" t="s">
        <v>123</v>
      </c>
      <c r="I359" s="41" t="s">
        <v>138</v>
      </c>
      <c r="J359" s="41" t="s">
        <v>202</v>
      </c>
    </row>
    <row r="360" spans="2:11" ht="15" thickBot="1">
      <c r="C360" s="2" t="s">
        <v>75</v>
      </c>
      <c r="D360" s="15">
        <v>43842</v>
      </c>
      <c r="E360" t="str">
        <f ca="1">IF(DATEDIF(D360,TODAY(),"y")&gt;=5,"Eligible","not Eligible")</f>
        <v>Eligible</v>
      </c>
      <c r="G360" s="30" t="s">
        <v>75</v>
      </c>
      <c r="H360" s="42">
        <v>40920</v>
      </c>
      <c r="I360" s="69">
        <f ca="1">DATEDIF(H360,TODAY(),"y")</f>
        <v>14</v>
      </c>
      <c r="J360" s="41" t="str">
        <f ca="1">IF(I360&gt;=10,"Senior Promotion",IF(I360&gt;=5,"Promotion Eligible","Not Eligible"))</f>
        <v>Senior Promotion</v>
      </c>
      <c r="K360" s="27"/>
    </row>
    <row r="361" spans="2:11" ht="15" thickBot="1">
      <c r="C361" s="2" t="s">
        <v>81</v>
      </c>
      <c r="D361" s="15">
        <v>44788</v>
      </c>
      <c r="E361" t="str">
        <f t="shared" ref="E361:E362" ca="1" si="13">IF(DATEDIF(D361,TODAY(),"y")&gt;=5,"Eligible","not Eligible")</f>
        <v>not Eligible</v>
      </c>
      <c r="G361" s="30" t="s">
        <v>81</v>
      </c>
      <c r="H361" s="42">
        <v>42597</v>
      </c>
      <c r="I361" s="69">
        <f t="shared" ref="I361:I365" ca="1" si="14">DATEDIF(H361,TODAY(),"y")</f>
        <v>10</v>
      </c>
      <c r="J361" s="41" t="str">
        <f t="shared" ref="J361:J365" ca="1" si="15">IF(I361&gt;=10,"Senior Promotion",IF(I361&gt;=5,"Promotion Eligible","Not Eligible"))</f>
        <v>Senior Promotion</v>
      </c>
      <c r="K361" s="27"/>
    </row>
    <row r="362" spans="2:11" ht="15" thickBot="1">
      <c r="C362" s="2" t="s">
        <v>6</v>
      </c>
      <c r="D362" s="15">
        <v>45698</v>
      </c>
      <c r="E362" t="str">
        <f t="shared" ca="1" si="13"/>
        <v>not Eligible</v>
      </c>
      <c r="G362" s="30" t="s">
        <v>6</v>
      </c>
      <c r="H362" s="42">
        <v>44967</v>
      </c>
      <c r="I362" s="69">
        <f t="shared" ca="1" si="14"/>
        <v>3</v>
      </c>
      <c r="J362" s="41" t="str">
        <f t="shared" ca="1" si="15"/>
        <v>Not Eligible</v>
      </c>
      <c r="K362" s="27"/>
    </row>
    <row r="363" spans="2:11" ht="15" thickBot="1">
      <c r="G363" s="30" t="s">
        <v>4</v>
      </c>
      <c r="H363" s="42">
        <v>42186</v>
      </c>
      <c r="I363" s="69">
        <f t="shared" ca="1" si="14"/>
        <v>11</v>
      </c>
      <c r="J363" s="41" t="str">
        <f t="shared" ca="1" si="15"/>
        <v>Senior Promotion</v>
      </c>
      <c r="K363" s="27"/>
    </row>
    <row r="364" spans="2:11" ht="15" thickBot="1">
      <c r="G364" s="30" t="s">
        <v>78</v>
      </c>
      <c r="H364" s="42">
        <v>44555</v>
      </c>
      <c r="I364" s="69">
        <f t="shared" ca="1" si="14"/>
        <v>4</v>
      </c>
      <c r="J364" s="41" t="str">
        <f t="shared" ca="1" si="15"/>
        <v>Not Eligible</v>
      </c>
      <c r="K364" s="27"/>
    </row>
    <row r="365" spans="2:11" ht="29.4" thickBot="1">
      <c r="B365" s="1" t="s">
        <v>203</v>
      </c>
      <c r="C365" s="1" t="s">
        <v>204</v>
      </c>
      <c r="D365" s="1" t="s">
        <v>205</v>
      </c>
      <c r="E365" s="1" t="s">
        <v>206</v>
      </c>
      <c r="G365" s="30" t="s">
        <v>5</v>
      </c>
      <c r="H365" s="42">
        <v>40257</v>
      </c>
      <c r="I365" s="69">
        <f t="shared" ca="1" si="14"/>
        <v>16</v>
      </c>
      <c r="J365" s="41" t="str">
        <f t="shared" ca="1" si="15"/>
        <v>Senior Promotion</v>
      </c>
      <c r="K365" s="27"/>
    </row>
    <row r="366" spans="2:11">
      <c r="B366" s="15">
        <v>46252</v>
      </c>
      <c r="C366" s="70">
        <f>EOMONTH(B366,0)</f>
        <v>46265</v>
      </c>
      <c r="D366" s="70">
        <f>EOMONTH(B366,1)</f>
        <v>46295</v>
      </c>
      <c r="E366" s="70">
        <f>EOMONTH(B366,-1)</f>
        <v>46234</v>
      </c>
    </row>
    <row r="367" spans="2:11">
      <c r="B367" s="15">
        <v>46027</v>
      </c>
      <c r="C367" s="70">
        <f>EOMONTH(B367,0)</f>
        <v>46053</v>
      </c>
      <c r="D367" s="71">
        <f>EOMONTH(B367,1)</f>
        <v>46081</v>
      </c>
      <c r="E367" s="70">
        <f t="shared" ref="E367:E368" si="16">EOMONTH(B367,-1)</f>
        <v>46022</v>
      </c>
    </row>
    <row r="368" spans="2:11">
      <c r="B368" s="15">
        <v>46016</v>
      </c>
      <c r="C368" s="70">
        <f>EOMONTH(B368,0)</f>
        <v>46022</v>
      </c>
      <c r="D368" s="71">
        <f>EOMONTH(B368,1)</f>
        <v>46053</v>
      </c>
      <c r="E368" s="70">
        <f t="shared" si="16"/>
        <v>45991</v>
      </c>
    </row>
    <row r="370" spans="2:15">
      <c r="B370" t="s">
        <v>207</v>
      </c>
    </row>
    <row r="371" spans="2:15">
      <c r="B371" s="1" t="s">
        <v>0</v>
      </c>
      <c r="C371" s="9" t="s">
        <v>52</v>
      </c>
      <c r="D371" s="3" t="s">
        <v>208</v>
      </c>
      <c r="E371" s="3" t="s">
        <v>209</v>
      </c>
      <c r="F371" s="3" t="s">
        <v>210</v>
      </c>
    </row>
    <row r="372" spans="2:15">
      <c r="B372" s="2" t="s">
        <v>75</v>
      </c>
      <c r="C372" s="8">
        <v>35000</v>
      </c>
      <c r="D372">
        <f>MATCH(B374,B372:B375,0)</f>
        <v>3</v>
      </c>
      <c r="E372">
        <f>INDEX(C372:C375,3)</f>
        <v>65000</v>
      </c>
      <c r="F372">
        <f>INDEX(C372:C375,MATCH("rahul",B372:B375,0))</f>
        <v>65000</v>
      </c>
    </row>
    <row r="373" spans="2:15">
      <c r="B373" s="2" t="s">
        <v>78</v>
      </c>
      <c r="C373" s="8">
        <v>42000</v>
      </c>
    </row>
    <row r="374" spans="2:15">
      <c r="B374" s="2" t="s">
        <v>81</v>
      </c>
      <c r="C374" s="8">
        <v>65000</v>
      </c>
    </row>
    <row r="375" spans="2:15">
      <c r="B375" s="2" t="s">
        <v>6</v>
      </c>
      <c r="C375" s="8">
        <v>52000</v>
      </c>
      <c r="F375" s="3" t="s">
        <v>162</v>
      </c>
      <c r="G375">
        <f>COUNTIF(D379:D386,"Sales")</f>
        <v>3</v>
      </c>
    </row>
    <row r="378" spans="2:15" ht="15" thickBot="1">
      <c r="B378" s="61" t="s">
        <v>155</v>
      </c>
      <c r="C378" s="77" t="s">
        <v>0</v>
      </c>
      <c r="D378" s="77" t="s">
        <v>51</v>
      </c>
      <c r="E378" s="77" t="s">
        <v>73</v>
      </c>
      <c r="F378" s="62" t="s">
        <v>52</v>
      </c>
      <c r="G378" s="62" t="s">
        <v>156</v>
      </c>
      <c r="H378" s="77" t="s">
        <v>123</v>
      </c>
      <c r="I378" s="77" t="s">
        <v>211</v>
      </c>
      <c r="J378" s="78" t="s">
        <v>138</v>
      </c>
      <c r="K378" s="79" t="s">
        <v>222</v>
      </c>
      <c r="L378" s="82" t="s">
        <v>165</v>
      </c>
      <c r="M378" s="82" t="s">
        <v>228</v>
      </c>
    </row>
    <row r="379" spans="2:15" ht="15" thickBot="1">
      <c r="B379" s="44">
        <v>101</v>
      </c>
      <c r="C379" s="30" t="s">
        <v>75</v>
      </c>
      <c r="D379" s="30" t="s">
        <v>13</v>
      </c>
      <c r="E379" s="30" t="s">
        <v>136</v>
      </c>
      <c r="F379" s="32">
        <v>35000</v>
      </c>
      <c r="G379" s="32">
        <v>95</v>
      </c>
      <c r="H379" s="42">
        <v>43842</v>
      </c>
      <c r="I379" s="80" t="s">
        <v>212</v>
      </c>
      <c r="J379" s="27">
        <f ca="1">DATEDIF(H379,TODAY(),"y")</f>
        <v>6</v>
      </c>
      <c r="K379" s="76" t="str">
        <f ca="1">IF(J379&gt;=10,"Senior Promotion",IF(J379&gt;=5,"Promotion Eligible","Not Eligible"))</f>
        <v>Promotion Eligible</v>
      </c>
      <c r="L379" s="27">
        <v>19</v>
      </c>
      <c r="M379" s="71">
        <f>EOMONTH(Table7[[#This Row],[Joining Date]],0)</f>
        <v>43861</v>
      </c>
      <c r="O379" s="83"/>
    </row>
    <row r="380" spans="2:15" ht="15" thickBot="1">
      <c r="B380" s="44">
        <v>102</v>
      </c>
      <c r="C380" s="30" t="s">
        <v>78</v>
      </c>
      <c r="D380" s="30" t="s">
        <v>55</v>
      </c>
      <c r="E380" s="30" t="s">
        <v>136</v>
      </c>
      <c r="F380" s="32">
        <v>42000</v>
      </c>
      <c r="G380" s="32">
        <v>82</v>
      </c>
      <c r="H380" s="42">
        <v>45003</v>
      </c>
      <c r="I380" s="80" t="s">
        <v>213</v>
      </c>
      <c r="J380" s="27">
        <f t="shared" ref="J380:J386" ca="1" si="17">DATEDIF(H380,TODAY(),"y")</f>
        <v>3</v>
      </c>
      <c r="K380" s="76" t="str">
        <f t="shared" ref="K380:K386" ca="1" si="18">IF(J380&gt;=10,"Senior Promotion",IF(J380&gt;=5,"Promotion Eligible","Not Eligible"))</f>
        <v>Not Eligible</v>
      </c>
      <c r="L380" s="27">
        <v>39</v>
      </c>
      <c r="M380" s="71">
        <f>EOMONTH(Table7[[#This Row],[Joining Date]],0)</f>
        <v>45016</v>
      </c>
    </row>
    <row r="381" spans="2:15" ht="15" thickBot="1">
      <c r="B381" s="44">
        <v>103</v>
      </c>
      <c r="C381" s="30" t="s">
        <v>81</v>
      </c>
      <c r="D381" s="30" t="s">
        <v>57</v>
      </c>
      <c r="E381" s="30" t="s">
        <v>84</v>
      </c>
      <c r="F381" s="32">
        <v>65000</v>
      </c>
      <c r="G381" s="32">
        <v>91</v>
      </c>
      <c r="H381" s="42">
        <v>41065</v>
      </c>
      <c r="I381" s="80" t="s">
        <v>214</v>
      </c>
      <c r="J381" s="27">
        <f t="shared" ca="1" si="17"/>
        <v>14</v>
      </c>
      <c r="K381" s="76" t="str">
        <f t="shared" ca="1" si="18"/>
        <v>Senior Promotion</v>
      </c>
      <c r="L381" s="27">
        <v>46</v>
      </c>
      <c r="M381" s="71">
        <f>EOMONTH(Table7[[#This Row],[Joining Date]],0)</f>
        <v>41090</v>
      </c>
    </row>
    <row r="382" spans="2:15" ht="15" thickBot="1">
      <c r="B382" s="44">
        <v>104</v>
      </c>
      <c r="C382" s="30" t="s">
        <v>6</v>
      </c>
      <c r="D382" s="30" t="s">
        <v>13</v>
      </c>
      <c r="E382" s="30" t="s">
        <v>136</v>
      </c>
      <c r="F382" s="32">
        <v>52000</v>
      </c>
      <c r="G382" s="32">
        <v>88</v>
      </c>
      <c r="H382" s="42">
        <v>42045</v>
      </c>
      <c r="I382" s="80" t="s">
        <v>215</v>
      </c>
      <c r="J382" s="27">
        <f t="shared" ca="1" si="17"/>
        <v>11</v>
      </c>
      <c r="K382" s="76" t="str">
        <f t="shared" ca="1" si="18"/>
        <v>Senior Promotion</v>
      </c>
      <c r="L382" s="27">
        <v>56</v>
      </c>
      <c r="M382" s="71">
        <f>EOMONTH(Table7[[#This Row],[Joining Date]],0)</f>
        <v>42063</v>
      </c>
    </row>
    <row r="383" spans="2:15" ht="15" thickBot="1">
      <c r="B383" s="44">
        <v>105</v>
      </c>
      <c r="C383" s="30" t="s">
        <v>5</v>
      </c>
      <c r="D383" s="30" t="s">
        <v>59</v>
      </c>
      <c r="E383" s="30" t="s">
        <v>137</v>
      </c>
      <c r="F383" s="32">
        <v>30000</v>
      </c>
      <c r="G383" s="32">
        <v>97</v>
      </c>
      <c r="H383" s="42">
        <v>44430</v>
      </c>
      <c r="I383" s="80" t="s">
        <v>216</v>
      </c>
      <c r="J383" s="27">
        <f t="shared" ca="1" si="17"/>
        <v>4</v>
      </c>
      <c r="K383" s="76" t="str">
        <f t="shared" ca="1" si="18"/>
        <v>Not Eligible</v>
      </c>
      <c r="L383" s="27">
        <v>60</v>
      </c>
      <c r="M383" s="71">
        <f>EOMONTH(Table7[[#This Row],[Joining Date]],0)</f>
        <v>44439</v>
      </c>
    </row>
    <row r="384" spans="2:15" ht="15" thickBot="1">
      <c r="B384" s="75">
        <v>106</v>
      </c>
      <c r="C384" s="74" t="s">
        <v>4</v>
      </c>
      <c r="D384" s="74" t="s">
        <v>57</v>
      </c>
      <c r="E384" s="74" t="s">
        <v>84</v>
      </c>
      <c r="F384" s="72">
        <v>75000</v>
      </c>
      <c r="G384" s="72">
        <v>85</v>
      </c>
      <c r="H384" s="73">
        <v>43935</v>
      </c>
      <c r="I384" s="80" t="s">
        <v>217</v>
      </c>
      <c r="J384" s="27">
        <f t="shared" ca="1" si="17"/>
        <v>6</v>
      </c>
      <c r="K384" s="76" t="str">
        <f t="shared" ca="1" si="18"/>
        <v>Promotion Eligible</v>
      </c>
      <c r="L384" s="27">
        <v>31</v>
      </c>
      <c r="M384" s="71">
        <f>EOMONTH(Table7[[#This Row],[Joining Date]],0)</f>
        <v>43951</v>
      </c>
    </row>
    <row r="385" spans="2:13" ht="15" thickBot="1">
      <c r="B385" s="44">
        <v>107</v>
      </c>
      <c r="C385" s="30" t="s">
        <v>143</v>
      </c>
      <c r="D385" s="30" t="s">
        <v>13</v>
      </c>
      <c r="E385" s="30" t="s">
        <v>79</v>
      </c>
      <c r="F385" s="32">
        <v>48000</v>
      </c>
      <c r="G385" s="32">
        <v>93</v>
      </c>
      <c r="H385" s="42">
        <v>43647</v>
      </c>
      <c r="I385" s="80" t="s">
        <v>218</v>
      </c>
      <c r="J385" s="27">
        <f t="shared" ca="1" si="17"/>
        <v>7</v>
      </c>
      <c r="K385" s="76" t="str">
        <f t="shared" ca="1" si="18"/>
        <v>Promotion Eligible</v>
      </c>
      <c r="L385" s="27"/>
      <c r="M385" s="71">
        <f>EOMONTH(Table7[[#This Row],[Joining Date]],0)</f>
        <v>43677</v>
      </c>
    </row>
    <row r="386" spans="2:13" ht="15" thickBot="1">
      <c r="B386" s="51">
        <v>108</v>
      </c>
      <c r="C386" s="52" t="s">
        <v>219</v>
      </c>
      <c r="D386" s="52" t="s">
        <v>55</v>
      </c>
      <c r="E386" s="52" t="s">
        <v>79</v>
      </c>
      <c r="F386" s="53">
        <v>39000</v>
      </c>
      <c r="G386" s="53">
        <v>89</v>
      </c>
      <c r="H386" s="54">
        <v>45651</v>
      </c>
      <c r="I386" s="81" t="s">
        <v>220</v>
      </c>
      <c r="J386" s="55">
        <f t="shared" ca="1" si="17"/>
        <v>1</v>
      </c>
      <c r="K386" s="57" t="str">
        <f t="shared" ca="1" si="18"/>
        <v>Not Eligible</v>
      </c>
      <c r="L386" s="27"/>
      <c r="M386" s="71">
        <f>EOMONTH(Table7[[#This Row],[Joining Date]],0)</f>
        <v>45657</v>
      </c>
    </row>
    <row r="387" spans="2:13" ht="15" thickBot="1"/>
    <row r="388" spans="2:13" ht="15" thickBot="1">
      <c r="G388" s="58" t="s">
        <v>67</v>
      </c>
      <c r="H388" s="27" t="s">
        <v>142</v>
      </c>
    </row>
    <row r="389" spans="2:13" ht="15" thickBot="1">
      <c r="D389" s="3" t="s">
        <v>221</v>
      </c>
      <c r="E389">
        <f>SUMIF(D379:D386,"IT",F379:F386)</f>
        <v>140000</v>
      </c>
      <c r="G389" s="59" t="s">
        <v>55</v>
      </c>
      <c r="H389" s="60">
        <v>81000</v>
      </c>
    </row>
    <row r="390" spans="2:13" ht="15" thickBot="1">
      <c r="D390" s="3" t="s">
        <v>223</v>
      </c>
      <c r="E390" s="39" t="str">
        <f>VLOOKUP(B382,B379:K386,3,FALSE)</f>
        <v>Sales</v>
      </c>
      <c r="G390" s="59" t="s">
        <v>68</v>
      </c>
      <c r="H390" s="60">
        <v>81000</v>
      </c>
    </row>
    <row r="391" spans="2:13">
      <c r="D391" s="3" t="s">
        <v>224</v>
      </c>
      <c r="E391" s="39" t="str">
        <f>INDEX(D379:D386,MATCH(104,B379:B386,0))</f>
        <v>Sales</v>
      </c>
    </row>
    <row r="392" spans="2:13" ht="15" thickBot="1"/>
    <row r="393" spans="2:13" ht="15" thickBot="1"/>
    <row r="395" spans="2:13">
      <c r="C395" t="s">
        <v>225</v>
      </c>
      <c r="D395" t="str">
        <f>PROPER(TRIM(C395))</f>
        <v>Amit Kumar</v>
      </c>
    </row>
    <row r="396" spans="2:13">
      <c r="C396" t="s">
        <v>226</v>
      </c>
      <c r="D396" t="str">
        <f t="shared" ref="D396:D397" si="19">PROPER(TRIM(C396))</f>
        <v>Rahul Sharma</v>
      </c>
    </row>
    <row r="397" spans="2:13">
      <c r="C397" t="s">
        <v>227</v>
      </c>
      <c r="D397" t="str">
        <f t="shared" si="19"/>
        <v>Simran Kaur</v>
      </c>
    </row>
    <row r="403" spans="2:12">
      <c r="B403" s="9" t="s">
        <v>155</v>
      </c>
      <c r="C403" s="1" t="s">
        <v>0</v>
      </c>
      <c r="D403" s="1" t="s">
        <v>51</v>
      </c>
      <c r="E403" s="9" t="s">
        <v>52</v>
      </c>
    </row>
    <row r="404" spans="2:12">
      <c r="B404" s="8">
        <v>101</v>
      </c>
      <c r="C404" s="2" t="s">
        <v>75</v>
      </c>
      <c r="D404" s="2" t="s">
        <v>13</v>
      </c>
      <c r="E404" s="8">
        <v>35000</v>
      </c>
    </row>
    <row r="405" spans="2:12">
      <c r="B405" s="8">
        <v>102</v>
      </c>
      <c r="C405" s="2" t="s">
        <v>78</v>
      </c>
      <c r="D405" s="2" t="s">
        <v>55</v>
      </c>
      <c r="E405" s="8">
        <v>42000</v>
      </c>
      <c r="I405" s="9" t="s">
        <v>155</v>
      </c>
      <c r="J405" s="1" t="s">
        <v>0</v>
      </c>
      <c r="K405" s="1" t="s">
        <v>51</v>
      </c>
      <c r="L405" s="1" t="s">
        <v>73</v>
      </c>
    </row>
    <row r="406" spans="2:12">
      <c r="B406" s="8">
        <v>103</v>
      </c>
      <c r="C406" s="2" t="s">
        <v>81</v>
      </c>
      <c r="D406" s="2" t="s">
        <v>57</v>
      </c>
      <c r="E406" s="8">
        <v>65000</v>
      </c>
      <c r="I406" s="8">
        <v>101</v>
      </c>
      <c r="J406" s="2" t="s">
        <v>75</v>
      </c>
      <c r="K406" s="2" t="s">
        <v>13</v>
      </c>
      <c r="L406" s="2" t="s">
        <v>136</v>
      </c>
    </row>
    <row r="407" spans="2:12">
      <c r="B407" s="8">
        <v>104</v>
      </c>
      <c r="C407" s="2" t="s">
        <v>6</v>
      </c>
      <c r="D407" s="2" t="s">
        <v>13</v>
      </c>
      <c r="E407" s="8">
        <v>52000</v>
      </c>
      <c r="I407" s="8">
        <v>102</v>
      </c>
      <c r="J407" s="2" t="s">
        <v>78</v>
      </c>
      <c r="K407" s="2" t="s">
        <v>55</v>
      </c>
      <c r="L407" s="2" t="s">
        <v>79</v>
      </c>
    </row>
    <row r="408" spans="2:12">
      <c r="I408" s="8">
        <v>103</v>
      </c>
      <c r="J408" s="2" t="s">
        <v>81</v>
      </c>
      <c r="K408" s="2" t="s">
        <v>57</v>
      </c>
      <c r="L408" s="2" t="s">
        <v>84</v>
      </c>
    </row>
    <row r="409" spans="2:12">
      <c r="I409" s="8">
        <v>104</v>
      </c>
      <c r="J409" s="2" t="s">
        <v>6</v>
      </c>
      <c r="K409" s="2" t="s">
        <v>13</v>
      </c>
      <c r="L409" s="2" t="s">
        <v>136</v>
      </c>
    </row>
    <row r="410" spans="2:12">
      <c r="I410" s="8">
        <v>105</v>
      </c>
      <c r="J410" s="2" t="s">
        <v>4</v>
      </c>
      <c r="K410" s="2" t="s">
        <v>57</v>
      </c>
      <c r="L410" s="2" t="s">
        <v>84</v>
      </c>
    </row>
    <row r="411" spans="2:12" ht="15" thickBot="1">
      <c r="I411" s="8">
        <v>106</v>
      </c>
      <c r="J411" s="2" t="s">
        <v>143</v>
      </c>
      <c r="K411" s="2" t="s">
        <v>55</v>
      </c>
      <c r="L411" s="2" t="s">
        <v>79</v>
      </c>
    </row>
    <row r="412" spans="2:12" ht="15" thickBot="1">
      <c r="C412" s="84" t="s">
        <v>155</v>
      </c>
      <c r="D412" s="84" t="s">
        <v>0</v>
      </c>
      <c r="E412" s="84" t="s">
        <v>52</v>
      </c>
      <c r="I412" s="8">
        <v>107</v>
      </c>
      <c r="J412" s="2" t="s">
        <v>5</v>
      </c>
      <c r="K412" s="2" t="s">
        <v>59</v>
      </c>
      <c r="L412" s="2" t="s">
        <v>137</v>
      </c>
    </row>
    <row r="413" spans="2:12" ht="15" thickBot="1">
      <c r="C413" s="85">
        <v>101</v>
      </c>
      <c r="D413" s="86" t="s">
        <v>81</v>
      </c>
      <c r="E413" s="85">
        <v>65000</v>
      </c>
      <c r="G413" t="e">
        <f>_xlfn.FILTERXML(C413:E416,D413:D416="rahul")</f>
        <v>#VALUE!</v>
      </c>
    </row>
    <row r="414" spans="2:12" ht="15" thickBot="1">
      <c r="C414" s="85">
        <v>102</v>
      </c>
      <c r="D414" s="86" t="s">
        <v>81</v>
      </c>
      <c r="E414" s="85">
        <v>52000</v>
      </c>
    </row>
    <row r="415" spans="2:12" ht="15" thickBot="1">
      <c r="C415" s="85">
        <v>103</v>
      </c>
      <c r="D415" s="86" t="s">
        <v>75</v>
      </c>
      <c r="E415" s="85">
        <v>35000</v>
      </c>
    </row>
    <row r="416" spans="2:12" ht="15" thickBot="1">
      <c r="C416" s="85">
        <v>104</v>
      </c>
      <c r="D416" s="86" t="s">
        <v>81</v>
      </c>
      <c r="E416" s="85">
        <v>45000</v>
      </c>
    </row>
    <row r="419" spans="2:7">
      <c r="B419" s="9" t="s">
        <v>155</v>
      </c>
      <c r="C419" s="1" t="s">
        <v>0</v>
      </c>
      <c r="D419" s="1" t="s">
        <v>51</v>
      </c>
      <c r="E419" s="9" t="s">
        <v>52</v>
      </c>
      <c r="G419" t="e">
        <f ca="1">G426(Table8[],4,1)</f>
        <v>#REF!</v>
      </c>
    </row>
    <row r="420" spans="2:7">
      <c r="B420" s="8">
        <v>101</v>
      </c>
      <c r="C420" s="2" t="s">
        <v>75</v>
      </c>
      <c r="D420" s="2" t="s">
        <v>13</v>
      </c>
      <c r="E420" s="8">
        <v>35000</v>
      </c>
    </row>
    <row r="421" spans="2:7">
      <c r="B421" s="8">
        <v>106</v>
      </c>
      <c r="C421" s="2" t="s">
        <v>143</v>
      </c>
      <c r="D421" s="2" t="s">
        <v>55</v>
      </c>
      <c r="E421" s="8">
        <v>39000</v>
      </c>
    </row>
    <row r="422" spans="2:7">
      <c r="B422" s="8">
        <v>102</v>
      </c>
      <c r="C422" s="2" t="s">
        <v>78</v>
      </c>
      <c r="D422" s="2" t="s">
        <v>55</v>
      </c>
      <c r="E422" s="8">
        <v>42000</v>
      </c>
    </row>
    <row r="423" spans="2:7">
      <c r="B423" s="8">
        <v>104</v>
      </c>
      <c r="C423" s="2" t="s">
        <v>6</v>
      </c>
      <c r="D423" s="2" t="s">
        <v>13</v>
      </c>
      <c r="E423" s="8">
        <v>52000</v>
      </c>
    </row>
    <row r="424" spans="2:7">
      <c r="B424" s="8">
        <v>103</v>
      </c>
      <c r="C424" s="2" t="s">
        <v>81</v>
      </c>
      <c r="D424" s="2" t="s">
        <v>57</v>
      </c>
      <c r="E424" s="8">
        <v>65000</v>
      </c>
    </row>
    <row r="425" spans="2:7">
      <c r="B425" s="8">
        <v>105</v>
      </c>
      <c r="C425" s="2" t="s">
        <v>4</v>
      </c>
      <c r="D425" s="2" t="s">
        <v>57</v>
      </c>
      <c r="E425" s="8">
        <v>75000</v>
      </c>
    </row>
    <row r="431" spans="2:7">
      <c r="C431" s="9" t="s">
        <v>155</v>
      </c>
      <c r="D431" s="1" t="s">
        <v>0</v>
      </c>
      <c r="E431" s="1" t="s">
        <v>51</v>
      </c>
      <c r="F431" s="1" t="s">
        <v>73</v>
      </c>
      <c r="G431" s="9" t="s">
        <v>52</v>
      </c>
    </row>
    <row r="432" spans="2:7">
      <c r="C432" s="8">
        <v>101</v>
      </c>
      <c r="D432" s="2" t="s">
        <v>75</v>
      </c>
      <c r="E432" s="2" t="s">
        <v>13</v>
      </c>
      <c r="F432" s="2" t="s">
        <v>79</v>
      </c>
      <c r="G432" s="8">
        <v>35000</v>
      </c>
    </row>
    <row r="433" spans="3:10">
      <c r="C433" s="8">
        <v>102</v>
      </c>
      <c r="D433" s="2" t="s">
        <v>78</v>
      </c>
      <c r="E433" s="2" t="s">
        <v>55</v>
      </c>
      <c r="F433" s="2" t="s">
        <v>136</v>
      </c>
      <c r="G433" s="8">
        <v>42000</v>
      </c>
    </row>
    <row r="434" spans="3:10">
      <c r="C434" s="8">
        <v>103</v>
      </c>
      <c r="D434" s="2" t="s">
        <v>81</v>
      </c>
      <c r="E434" s="2" t="s">
        <v>57</v>
      </c>
      <c r="F434" s="2" t="s">
        <v>84</v>
      </c>
      <c r="G434" s="8">
        <v>65000</v>
      </c>
    </row>
    <row r="435" spans="3:10">
      <c r="C435" s="8">
        <v>104</v>
      </c>
      <c r="D435" s="2" t="s">
        <v>6</v>
      </c>
      <c r="E435" s="2" t="s">
        <v>13</v>
      </c>
      <c r="F435" s="2" t="s">
        <v>79</v>
      </c>
      <c r="G435" s="8">
        <v>52000</v>
      </c>
    </row>
    <row r="436" spans="3:10">
      <c r="C436" s="8">
        <v>105</v>
      </c>
      <c r="D436" s="2" t="s">
        <v>4</v>
      </c>
      <c r="E436" s="2" t="s">
        <v>57</v>
      </c>
      <c r="F436" s="2" t="s">
        <v>84</v>
      </c>
      <c r="G436" s="8">
        <v>75000</v>
      </c>
    </row>
    <row r="437" spans="3:10">
      <c r="C437" s="8">
        <v>106</v>
      </c>
      <c r="D437" s="2" t="s">
        <v>143</v>
      </c>
      <c r="E437" s="2" t="s">
        <v>55</v>
      </c>
      <c r="F437" s="2" t="s">
        <v>136</v>
      </c>
      <c r="G437" s="8">
        <v>39000</v>
      </c>
    </row>
    <row r="438" spans="3:10">
      <c r="C438" s="8">
        <v>107</v>
      </c>
      <c r="D438" s="2" t="s">
        <v>5</v>
      </c>
      <c r="E438" s="2" t="s">
        <v>59</v>
      </c>
      <c r="F438" s="2" t="s">
        <v>137</v>
      </c>
      <c r="G438" s="8">
        <v>30000</v>
      </c>
    </row>
    <row r="439" spans="3:10">
      <c r="C439" s="8">
        <v>108</v>
      </c>
      <c r="D439" s="2" t="s">
        <v>219</v>
      </c>
      <c r="E439" s="2" t="s">
        <v>13</v>
      </c>
      <c r="F439" s="2" t="s">
        <v>87</v>
      </c>
      <c r="G439" s="8">
        <v>48000</v>
      </c>
    </row>
    <row r="441" spans="3:10" ht="15" thickBot="1"/>
    <row r="442" spans="3:10" ht="15" thickBot="1">
      <c r="F442" s="58" t="s">
        <v>67</v>
      </c>
      <c r="G442" s="27" t="s">
        <v>232</v>
      </c>
    </row>
    <row r="443" spans="3:10" ht="15" thickBot="1">
      <c r="C443" s="58" t="s">
        <v>67</v>
      </c>
      <c r="D443" s="27" t="s">
        <v>142</v>
      </c>
      <c r="F443" s="59" t="s">
        <v>136</v>
      </c>
      <c r="G443" s="60">
        <v>2</v>
      </c>
      <c r="I443" s="58" t="s">
        <v>67</v>
      </c>
      <c r="J443" s="27" t="s">
        <v>232</v>
      </c>
    </row>
    <row r="444" spans="3:10" ht="15" thickBot="1">
      <c r="C444" s="59" t="s">
        <v>59</v>
      </c>
      <c r="D444" s="60">
        <v>30000</v>
      </c>
      <c r="F444" s="59" t="s">
        <v>137</v>
      </c>
      <c r="G444" s="60">
        <v>1</v>
      </c>
      <c r="I444" s="59" t="s">
        <v>59</v>
      </c>
      <c r="J444" s="60">
        <v>1</v>
      </c>
    </row>
    <row r="445" spans="3:10" ht="15" thickBot="1">
      <c r="C445" s="59" t="s">
        <v>55</v>
      </c>
      <c r="D445" s="60">
        <v>81000</v>
      </c>
      <c r="F445" s="59" t="s">
        <v>79</v>
      </c>
      <c r="G445" s="60">
        <v>2</v>
      </c>
      <c r="I445" s="59" t="s">
        <v>55</v>
      </c>
      <c r="J445" s="60">
        <v>2</v>
      </c>
    </row>
    <row r="446" spans="3:10" ht="15" thickBot="1">
      <c r="C446" s="59" t="s">
        <v>57</v>
      </c>
      <c r="D446" s="60">
        <v>140000</v>
      </c>
      <c r="F446" s="59" t="s">
        <v>84</v>
      </c>
      <c r="G446" s="60">
        <v>2</v>
      </c>
      <c r="I446" s="59" t="s">
        <v>57</v>
      </c>
      <c r="J446" s="60">
        <v>2</v>
      </c>
    </row>
    <row r="447" spans="3:10" ht="15" thickBot="1">
      <c r="C447" s="59" t="s">
        <v>13</v>
      </c>
      <c r="D447" s="60">
        <v>135000</v>
      </c>
      <c r="F447" s="59" t="s">
        <v>87</v>
      </c>
      <c r="G447" s="60">
        <v>1</v>
      </c>
      <c r="I447" s="59" t="s">
        <v>13</v>
      </c>
      <c r="J447" s="60">
        <v>3</v>
      </c>
    </row>
    <row r="448" spans="3:10" ht="15" thickBot="1">
      <c r="C448" s="59" t="s">
        <v>68</v>
      </c>
      <c r="D448" s="60">
        <v>386000</v>
      </c>
      <c r="F448" s="59" t="s">
        <v>68</v>
      </c>
      <c r="G448" s="60">
        <v>8</v>
      </c>
      <c r="I448" s="59" t="s">
        <v>68</v>
      </c>
      <c r="J448" s="60">
        <v>8</v>
      </c>
    </row>
    <row r="455" spans="2:8">
      <c r="B455" s="9" t="s">
        <v>236</v>
      </c>
      <c r="C455" s="1" t="s">
        <v>195</v>
      </c>
      <c r="D455" s="1" t="s">
        <v>139</v>
      </c>
      <c r="E455" s="1" t="s">
        <v>237</v>
      </c>
      <c r="F455" s="1" t="s">
        <v>89</v>
      </c>
      <c r="G455" s="9" t="s">
        <v>238</v>
      </c>
      <c r="H455" s="9" t="s">
        <v>13</v>
      </c>
    </row>
    <row r="456" spans="2:8">
      <c r="B456" s="8">
        <v>1001</v>
      </c>
      <c r="C456" s="15">
        <v>46027</v>
      </c>
      <c r="D456" s="2" t="s">
        <v>75</v>
      </c>
      <c r="E456" s="2" t="s">
        <v>239</v>
      </c>
      <c r="F456" s="2" t="s">
        <v>92</v>
      </c>
      <c r="G456" s="8">
        <v>2</v>
      </c>
      <c r="H456" s="8">
        <v>120000</v>
      </c>
    </row>
    <row r="457" spans="2:8">
      <c r="B457" s="8">
        <v>1002</v>
      </c>
      <c r="C457" s="15">
        <v>46030</v>
      </c>
      <c r="D457" s="2" t="s">
        <v>81</v>
      </c>
      <c r="E457" s="2" t="s">
        <v>240</v>
      </c>
      <c r="F457" s="2" t="s">
        <v>93</v>
      </c>
      <c r="G457" s="8">
        <v>10</v>
      </c>
      <c r="H457" s="8">
        <v>15000</v>
      </c>
    </row>
    <row r="458" spans="2:8">
      <c r="B458" s="8">
        <v>1003</v>
      </c>
      <c r="C458" s="15">
        <v>46032</v>
      </c>
      <c r="D458" s="2" t="s">
        <v>78</v>
      </c>
      <c r="E458" s="2" t="s">
        <v>241</v>
      </c>
      <c r="F458" s="2" t="s">
        <v>94</v>
      </c>
      <c r="G458" s="8">
        <v>5</v>
      </c>
      <c r="H458" s="8">
        <v>20000</v>
      </c>
    </row>
    <row r="459" spans="2:8">
      <c r="B459" s="8">
        <v>1004</v>
      </c>
      <c r="C459" s="15">
        <v>46037</v>
      </c>
      <c r="D459" s="2" t="s">
        <v>6</v>
      </c>
      <c r="E459" s="2" t="s">
        <v>242</v>
      </c>
      <c r="F459" s="2" t="s">
        <v>92</v>
      </c>
      <c r="G459" s="8">
        <v>1</v>
      </c>
      <c r="H459" s="8">
        <v>60000</v>
      </c>
    </row>
    <row r="460" spans="2:8">
      <c r="B460" s="8">
        <v>1005</v>
      </c>
      <c r="C460" s="15">
        <v>46040</v>
      </c>
      <c r="D460" s="2" t="s">
        <v>4</v>
      </c>
      <c r="E460" s="2" t="s">
        <v>239</v>
      </c>
      <c r="F460" s="2" t="s">
        <v>96</v>
      </c>
      <c r="G460" s="8">
        <v>3</v>
      </c>
      <c r="H460" s="8">
        <v>45000</v>
      </c>
    </row>
    <row r="461" spans="2:8">
      <c r="B461" s="8">
        <v>1006</v>
      </c>
      <c r="C461" s="15">
        <v>46042</v>
      </c>
      <c r="D461" s="2" t="s">
        <v>75</v>
      </c>
      <c r="E461" s="2" t="s">
        <v>241</v>
      </c>
      <c r="F461" s="2" t="s">
        <v>92</v>
      </c>
      <c r="G461" s="8">
        <v>2</v>
      </c>
      <c r="H461" s="8">
        <v>120000</v>
      </c>
    </row>
    <row r="462" spans="2:8">
      <c r="B462" s="8">
        <v>1007</v>
      </c>
      <c r="C462" s="15">
        <v>46047</v>
      </c>
      <c r="D462" s="2" t="s">
        <v>81</v>
      </c>
      <c r="E462" s="2" t="s">
        <v>240</v>
      </c>
      <c r="F462" s="2" t="s">
        <v>96</v>
      </c>
      <c r="G462" s="8">
        <v>4</v>
      </c>
      <c r="H462" s="8">
        <v>60000</v>
      </c>
    </row>
    <row r="463" spans="2:8">
      <c r="B463" s="8">
        <v>1008</v>
      </c>
      <c r="C463" s="15">
        <v>46052</v>
      </c>
      <c r="D463" s="2" t="s">
        <v>78</v>
      </c>
      <c r="E463" s="2" t="s">
        <v>242</v>
      </c>
      <c r="F463" s="2" t="s">
        <v>93</v>
      </c>
      <c r="G463" s="8">
        <v>8</v>
      </c>
      <c r="H463" s="8">
        <v>12000</v>
      </c>
    </row>
    <row r="464" spans="2:8">
      <c r="B464" s="8">
        <v>1009</v>
      </c>
      <c r="C464" s="15">
        <v>46055</v>
      </c>
      <c r="D464" s="2" t="s">
        <v>6</v>
      </c>
      <c r="E464" s="2" t="s">
        <v>239</v>
      </c>
      <c r="F464" s="2" t="s">
        <v>94</v>
      </c>
      <c r="G464" s="8">
        <v>6</v>
      </c>
      <c r="H464" s="8">
        <v>24000</v>
      </c>
    </row>
    <row r="465" spans="2:9">
      <c r="B465" s="8">
        <v>1010</v>
      </c>
      <c r="C465" s="15">
        <v>46058</v>
      </c>
      <c r="D465" s="2" t="s">
        <v>4</v>
      </c>
      <c r="E465" s="2" t="s">
        <v>241</v>
      </c>
      <c r="F465" s="2" t="s">
        <v>92</v>
      </c>
      <c r="G465" s="8">
        <v>1</v>
      </c>
      <c r="H465" s="8">
        <v>60000</v>
      </c>
    </row>
    <row r="466" spans="2:9" ht="15" thickBot="1">
      <c r="B466" s="8"/>
      <c r="C466" s="15"/>
      <c r="D466" s="2"/>
      <c r="E466" s="2"/>
      <c r="F466" s="2"/>
      <c r="G466" s="8">
        <f>SUBTOTAL(109,Table10[Quantity])</f>
        <v>42</v>
      </c>
      <c r="H466" s="8">
        <f>SUBTOTAL(109,Table10[Sales])</f>
        <v>536000</v>
      </c>
    </row>
    <row r="467" spans="2:9" ht="15" thickBot="1">
      <c r="B467" s="58" t="s">
        <v>67</v>
      </c>
      <c r="C467" s="27" t="s">
        <v>69</v>
      </c>
      <c r="E467" s="58" t="s">
        <v>67</v>
      </c>
      <c r="F467" s="27" t="s">
        <v>69</v>
      </c>
    </row>
    <row r="468" spans="2:9" ht="15" thickBot="1">
      <c r="B468" s="59" t="s">
        <v>241</v>
      </c>
      <c r="C468" s="60">
        <v>200000</v>
      </c>
      <c r="E468" s="59" t="s">
        <v>75</v>
      </c>
      <c r="F468" s="60">
        <v>240000</v>
      </c>
      <c r="H468" s="6" t="s">
        <v>67</v>
      </c>
      <c r="I468" t="s">
        <v>69</v>
      </c>
    </row>
    <row r="469" spans="2:9" ht="15" thickBot="1">
      <c r="B469" s="59" t="s">
        <v>239</v>
      </c>
      <c r="C469" s="60">
        <v>189000</v>
      </c>
      <c r="E469" s="59" t="s">
        <v>78</v>
      </c>
      <c r="F469" s="60">
        <v>32000</v>
      </c>
      <c r="H469" s="7" t="s">
        <v>104</v>
      </c>
      <c r="I469" s="19">
        <v>452000</v>
      </c>
    </row>
    <row r="470" spans="2:9" ht="15" thickBot="1">
      <c r="B470" s="59" t="s">
        <v>240</v>
      </c>
      <c r="C470" s="60">
        <v>75000</v>
      </c>
      <c r="E470" s="59" t="s">
        <v>6</v>
      </c>
      <c r="F470" s="60">
        <v>84000</v>
      </c>
      <c r="H470" s="7" t="s">
        <v>105</v>
      </c>
      <c r="I470" s="19">
        <v>84000</v>
      </c>
    </row>
    <row r="471" spans="2:9" ht="15" thickBot="1">
      <c r="B471" s="59" t="s">
        <v>242</v>
      </c>
      <c r="C471" s="60">
        <v>72000</v>
      </c>
      <c r="E471" s="59" t="s">
        <v>81</v>
      </c>
      <c r="F471" s="60">
        <v>75000</v>
      </c>
      <c r="H471" s="7" t="s">
        <v>68</v>
      </c>
      <c r="I471" s="19">
        <v>536000</v>
      </c>
    </row>
    <row r="472" spans="2:9" ht="15" thickBot="1">
      <c r="B472" s="59" t="s">
        <v>68</v>
      </c>
      <c r="C472" s="60">
        <v>536000</v>
      </c>
      <c r="E472" s="59" t="s">
        <v>4</v>
      </c>
      <c r="F472" s="60">
        <v>105000</v>
      </c>
    </row>
    <row r="473" spans="2:9" ht="15" thickBot="1">
      <c r="E473" s="59" t="s">
        <v>68</v>
      </c>
      <c r="F473" s="60">
        <v>536000</v>
      </c>
    </row>
    <row r="478" spans="2:9">
      <c r="E478" s="6" t="s">
        <v>67</v>
      </c>
      <c r="F478" t="s">
        <v>69</v>
      </c>
    </row>
    <row r="479" spans="2:9">
      <c r="E479" s="7" t="s">
        <v>94</v>
      </c>
      <c r="F479" s="19">
        <v>44000</v>
      </c>
    </row>
    <row r="480" spans="2:9">
      <c r="E480" s="7" t="s">
        <v>92</v>
      </c>
      <c r="F480" s="19">
        <v>360000</v>
      </c>
    </row>
    <row r="481" spans="5:6">
      <c r="E481" s="7" t="s">
        <v>96</v>
      </c>
      <c r="F481" s="19">
        <v>105000</v>
      </c>
    </row>
    <row r="482" spans="5:6">
      <c r="E482" s="7" t="s">
        <v>93</v>
      </c>
      <c r="F482" s="19">
        <v>27000</v>
      </c>
    </row>
    <row r="483" spans="5:6">
      <c r="E483" s="7" t="s">
        <v>68</v>
      </c>
      <c r="F483" s="19">
        <v>536000</v>
      </c>
    </row>
  </sheetData>
  <sortState xmlns:xlrd2="http://schemas.microsoft.com/office/spreadsheetml/2017/richdata2" ref="L272:L277">
    <sortCondition descending="1" ref="L272:L277"/>
  </sortState>
  <conditionalFormatting sqref="C273:C278">
    <cfRule type="cellIs" dxfId="25" priority="15" operator="lessThan">
      <formula>40000</formula>
    </cfRule>
    <cfRule type="cellIs" dxfId="24" priority="16" operator="greaterThan">
      <formula>50000</formula>
    </cfRule>
    <cfRule type="cellIs" dxfId="23" priority="17" operator="greaterThan">
      <formula>"5$C$273&gt;50000"</formula>
    </cfRule>
  </conditionalFormatting>
  <conditionalFormatting sqref="E273:E279">
    <cfRule type="duplicateValues" dxfId="22" priority="14"/>
  </conditionalFormatting>
  <conditionalFormatting sqref="H273:H278">
    <cfRule type="dataBar" priority="13">
      <dataBar>
        <cfvo type="min"/>
        <cfvo type="max"/>
        <color rgb="FF638EC6"/>
      </dataBar>
      <extLst>
        <ext xmlns:x14="http://schemas.microsoft.com/office/spreadsheetml/2009/9/main" uri="{B025F937-C7B1-47D3-B67F-A62EFF666E3E}">
          <x14:id>{1BF9707A-FFBA-4734-B654-D0D0F0C35FF3}</x14:id>
        </ext>
      </extLst>
    </cfRule>
  </conditionalFormatting>
  <conditionalFormatting sqref="J272:J277">
    <cfRule type="colorScale" priority="12">
      <colorScale>
        <cfvo type="min"/>
        <cfvo type="percentile" val="50"/>
        <cfvo type="max"/>
        <color rgb="FFF8696B"/>
        <color rgb="FFFFEB84"/>
        <color rgb="FF63BE7B"/>
      </colorScale>
    </cfRule>
  </conditionalFormatting>
  <conditionalFormatting sqref="J271:J277">
    <cfRule type="colorScale" priority="11">
      <colorScale>
        <cfvo type="min"/>
        <cfvo type="percentile" val="50"/>
        <cfvo type="max"/>
        <color rgb="FFF8696B"/>
        <color rgb="FFFFEB84"/>
        <color rgb="FF63BE7B"/>
      </colorScale>
    </cfRule>
  </conditionalFormatting>
  <conditionalFormatting sqref="L272:L277">
    <cfRule type="iconSet" priority="10">
      <iconSet iconSet="3Arrows">
        <cfvo type="percent" val="0"/>
        <cfvo type="percent" val="33"/>
        <cfvo type="percent" val="67"/>
      </iconSet>
    </cfRule>
  </conditionalFormatting>
  <conditionalFormatting sqref="B286:D291">
    <cfRule type="expression" dxfId="21" priority="7">
      <formula>$D286&gt;50000</formula>
    </cfRule>
    <cfRule type="expression" dxfId="20" priority="8">
      <formula>$C2&gt;50000</formula>
    </cfRule>
    <cfRule type="expression" dxfId="19" priority="9">
      <formula>"$c2&gt;50000"</formula>
    </cfRule>
  </conditionalFormatting>
  <conditionalFormatting sqref="G286:I289">
    <cfRule type="expression" dxfId="18" priority="5">
      <formula>AND($H286="IT",$I286&gt;50000)</formula>
    </cfRule>
    <cfRule type="expression" dxfId="17" priority="6">
      <formula>$H286="Sales"</formula>
    </cfRule>
  </conditionalFormatting>
  <conditionalFormatting sqref="K286:N289">
    <cfRule type="expression" dxfId="16" priority="4">
      <formula>OR($L286="Sales",$M286="Hyderabad")</formula>
    </cfRule>
  </conditionalFormatting>
  <conditionalFormatting sqref="B307:H312">
    <cfRule type="expression" dxfId="15" priority="3">
      <formula>OR($D307="Sales",$F307&gt;60000)</formula>
    </cfRule>
  </conditionalFormatting>
  <conditionalFormatting sqref="D325:E330">
    <cfRule type="expression" dxfId="14" priority="19">
      <formula>OR($D307="Sales",$F307&gt;60000)</formula>
    </cfRule>
  </conditionalFormatting>
  <conditionalFormatting sqref="B379:I386">
    <cfRule type="expression" dxfId="13" priority="1">
      <formula>$F379&gt;60000</formula>
    </cfRule>
    <cfRule type="cellIs" dxfId="12" priority="2" operator="greaterThan">
      <formula>$F379&gt;60000</formula>
    </cfRule>
  </conditionalFormatting>
  <dataValidations count="10">
    <dataValidation type="list" allowBlank="1" showInputMessage="1" showErrorMessage="1" sqref="C297:C300" xr:uid="{D1422647-F97E-459F-8988-D8F2F15315AB}">
      <formula1>"Sales, HR,IT,Finance"</formula1>
    </dataValidation>
    <dataValidation type="whole" allowBlank="1" showInputMessage="1" showErrorMessage="1" errorTitle="Invalid Age" error="Age must be between 18 and 60." promptTitle="Age entry" prompt="Please enter an age in between 18 and 60" sqref="F297:F301" xr:uid="{4B588805-264C-456F-B13F-E8DAE2EE9380}">
      <formula1>18</formula1>
      <formula2>60</formula2>
    </dataValidation>
    <dataValidation type="date" operator="lessThanOrEqual" allowBlank="1" showInputMessage="1" showErrorMessage="1" errorTitle="Invalid date" error="please enter correct date" promptTitle="joining Date" prompt="Please enter today's or before today's date " sqref="I297:I300" xr:uid="{ADCDD0F1-8158-4CBE-9D87-7E547A308DE2}">
      <formula1>TODAY()</formula1>
    </dataValidation>
    <dataValidation type="list" allowBlank="1" showInputMessage="1" showErrorMessage="1" sqref="I307:I312" xr:uid="{52D82BE2-1BB8-4580-8BC4-6C1CE8420CAA}">
      <formula1>"Sales,HR,IT,Finance"</formula1>
    </dataValidation>
    <dataValidation type="whole" allowBlank="1" showInputMessage="1" showErrorMessage="1" errorTitle="invalid age" error="please enter age in between 18 and 60" promptTitle="Enter age" prompt="Please enter age between 18 and 60" sqref="J307:J312" xr:uid="{A52B3E53-130A-4732-BAA9-ECFB69B74ABE}">
      <formula1>18</formula1>
      <formula2>60</formula2>
    </dataValidation>
    <dataValidation type="custom" allowBlank="1" showInputMessage="1" showErrorMessage="1" sqref="K297:K305 I306" xr:uid="{26E497CF-EC54-44DD-AB54-7AF74EF8C65F}">
      <formula1>COUNTIF($K$297:$K$310,I297)=1</formula1>
    </dataValidation>
    <dataValidation type="date" operator="lessThanOrEqual" allowBlank="1" showInputMessage="1" showErrorMessage="1" errorTitle="invalid date" error="enter date should be today or before today" promptTitle="Date" prompt="please enter date today or before today" sqref="K307:K312" xr:uid="{121F4383-1223-4785-90F0-34DB7E51C75A}">
      <formula1>TODAY()</formula1>
    </dataValidation>
    <dataValidation type="custom" allowBlank="1" showInputMessage="1" showErrorMessage="1" sqref="J316:J323" xr:uid="{A8D0F280-E52B-45D3-9F82-2FF9EDB83133}">
      <formula1>COUNTIF($J$316:$J$323,J316)=1</formula1>
    </dataValidation>
    <dataValidation type="list" allowBlank="1" showInputMessage="1" showErrorMessage="1" sqref="O379 I369:I375" xr:uid="{5D7C73DD-3B61-40D9-BC5F-EA7C9CB44712}">
      <formula1>"Hr,IT,Sales,Finance"</formula1>
    </dataValidation>
    <dataValidation type="whole" allowBlank="1" showInputMessage="1" showErrorMessage="1" errorTitle="invalid age" error="please enter age between 18 and 60" promptTitle="enter age" prompt="please enter age between 18 and 60" sqref="L379:L386" xr:uid="{9A7ADFC0-D3A9-4B04-B0FC-B22950B4336A}">
      <formula1>18</formula1>
      <formula2>60</formula2>
    </dataValidation>
  </dataValidations>
  <hyperlinks>
    <hyperlink ref="I379" r:id="rId16" display="mailto:AMIT@company.COM" xr:uid="{B7A4CB22-8E4A-417D-B936-BFCF79009DF0}"/>
    <hyperlink ref="I380" r:id="rId17" display="mailto:NEHA@Company.com" xr:uid="{4C9B2B81-D701-4644-868A-633E68649A18}"/>
    <hyperlink ref="I381" r:id="rId18" display="mailto:rahul@COMPANY.com" xr:uid="{61DF59BE-4F83-431D-A2C5-DEED4BD73512}"/>
    <hyperlink ref="I382" r:id="rId19" display="mailto:PRIYA@company.com" xr:uid="{EC81F2CF-D6EE-4DBA-9129-4A4C785DB630}"/>
    <hyperlink ref="I383" r:id="rId20" display="mailto:karan@Company.com" xr:uid="{ADFE65A0-E08A-483F-B920-97E23DED0197}"/>
    <hyperlink ref="I384" r:id="rId21" xr:uid="{BC13B042-3C8B-4ACE-830E-78361DB286FA}"/>
    <hyperlink ref="I385" r:id="rId22" display="mailto:MOHIT@company.COM" xr:uid="{B17CC1D8-80D7-40FE-960C-CAC60B4837DC}"/>
    <hyperlink ref="I386" r:id="rId23" display="mailto:riya@Company.com" xr:uid="{82BA2D4E-88E9-4CA6-AB14-46895C8F4FBC}"/>
  </hyperlinks>
  <pageMargins left="0.7" right="0.7" top="0.75" bottom="0.75" header="0.3" footer="0.3"/>
  <pageSetup paperSize="9" orientation="portrait" r:id="rId24"/>
  <drawing r:id="rId25"/>
  <tableParts count="7">
    <tablePart r:id="rId26"/>
    <tablePart r:id="rId27"/>
    <tablePart r:id="rId28"/>
    <tablePart r:id="rId29"/>
    <tablePart r:id="rId30"/>
    <tablePart r:id="rId31"/>
    <tablePart r:id="rId32"/>
  </tableParts>
  <extLst>
    <ext xmlns:x14="http://schemas.microsoft.com/office/spreadsheetml/2009/9/main" uri="{78C0D931-6437-407d-A8EE-F0AAD7539E65}">
      <x14:conditionalFormattings>
        <x14:conditionalFormatting xmlns:xm="http://schemas.microsoft.com/office/excel/2006/main">
          <x14:cfRule type="dataBar" id="{1BF9707A-FFBA-4734-B654-D0D0F0C35FF3}">
            <x14:dataBar minLength="0" maxLength="100" gradient="0">
              <x14:cfvo type="autoMin"/>
              <x14:cfvo type="autoMax"/>
              <x14:negativeFillColor rgb="FFFF0000"/>
              <x14:axisColor rgb="FF000000"/>
            </x14:dataBar>
          </x14:cfRule>
          <xm:sqref>H273:H278</xm:sqref>
        </x14:conditionalFormatting>
      </x14:conditionalFormattings>
    </ext>
    <ext xmlns:x14="http://schemas.microsoft.com/office/spreadsheetml/2009/9/main" uri="{A8765BA9-456A-4dab-B4F3-ACF838C121DE}">
      <x14:slicerList>
        <x14:slicer r:id="rId3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253FA-1B1B-4B27-895D-0791E4FC48DA}">
  <dimension ref="A1:Y55"/>
  <sheetViews>
    <sheetView tabSelected="1" zoomScale="90" zoomScaleNormal="90" workbookViewId="0">
      <selection activeCell="B9" sqref="B9:Y55"/>
    </sheetView>
  </sheetViews>
  <sheetFormatPr defaultRowHeight="14.4"/>
  <cols>
    <col min="22" max="22" width="15.44140625" bestFit="1" customWidth="1"/>
  </cols>
  <sheetData>
    <row r="1" spans="1:25">
      <c r="A1" s="87"/>
      <c r="B1" s="87"/>
      <c r="C1" s="87"/>
      <c r="D1" s="87"/>
      <c r="E1" s="87"/>
      <c r="F1" s="87"/>
      <c r="G1" s="87"/>
      <c r="H1" s="87"/>
      <c r="I1" s="87"/>
      <c r="J1" s="87"/>
      <c r="K1" s="87"/>
      <c r="L1" s="87"/>
      <c r="M1" s="87"/>
      <c r="N1" s="87"/>
      <c r="O1" s="87"/>
      <c r="P1" s="87"/>
      <c r="Q1" s="87"/>
      <c r="R1" s="87"/>
      <c r="S1" s="87"/>
      <c r="T1" s="87"/>
      <c r="U1" s="87"/>
      <c r="W1" s="87"/>
      <c r="X1" s="87"/>
      <c r="Y1" s="87"/>
    </row>
    <row r="2" spans="1:25" ht="14.4" customHeight="1">
      <c r="A2" s="87"/>
      <c r="B2" s="102" t="s">
        <v>243</v>
      </c>
      <c r="C2" s="102"/>
      <c r="D2" s="102"/>
      <c r="E2" s="102"/>
      <c r="F2" s="102"/>
      <c r="G2" s="102"/>
      <c r="H2" s="102"/>
      <c r="I2" s="102"/>
      <c r="J2" s="102"/>
      <c r="K2" s="102"/>
      <c r="L2" s="102"/>
      <c r="M2" s="102"/>
      <c r="N2" s="102"/>
      <c r="O2" s="102"/>
      <c r="P2" s="102"/>
      <c r="Q2" s="102"/>
      <c r="R2" s="102"/>
      <c r="S2" s="102"/>
      <c r="T2" s="102"/>
      <c r="U2" s="102"/>
      <c r="V2" s="122" t="s">
        <v>246</v>
      </c>
      <c r="W2" s="87"/>
      <c r="X2" s="87"/>
      <c r="Y2" s="87"/>
    </row>
    <row r="3" spans="1:25" ht="14.4" customHeight="1">
      <c r="A3" s="87"/>
      <c r="B3" s="102"/>
      <c r="C3" s="102"/>
      <c r="D3" s="102"/>
      <c r="E3" s="102"/>
      <c r="F3" s="102"/>
      <c r="G3" s="102"/>
      <c r="H3" s="102"/>
      <c r="I3" s="102"/>
      <c r="J3" s="102"/>
      <c r="K3" s="102"/>
      <c r="L3" s="102"/>
      <c r="M3" s="102"/>
      <c r="N3" s="102"/>
      <c r="O3" s="102"/>
      <c r="P3" s="102"/>
      <c r="Q3" s="102"/>
      <c r="R3" s="102"/>
      <c r="S3" s="102"/>
      <c r="T3" s="102"/>
      <c r="U3" s="102"/>
      <c r="V3" s="123">
        <f ca="1">TODAY()</f>
        <v>46251</v>
      </c>
      <c r="W3" s="87"/>
      <c r="X3" s="87"/>
      <c r="Y3" s="87"/>
    </row>
    <row r="4" spans="1:25">
      <c r="A4" s="87"/>
      <c r="B4" s="87"/>
      <c r="C4" s="87"/>
      <c r="D4" s="87"/>
      <c r="E4" s="87"/>
      <c r="F4" s="87"/>
      <c r="G4" s="87"/>
      <c r="H4" s="87"/>
      <c r="I4" s="87"/>
      <c r="J4" s="87"/>
      <c r="K4" s="87"/>
      <c r="L4" s="87"/>
      <c r="M4" s="87"/>
      <c r="N4" s="87"/>
      <c r="O4" s="87"/>
      <c r="P4" s="87"/>
      <c r="Q4" s="87"/>
      <c r="R4" s="87"/>
      <c r="S4" s="87"/>
      <c r="T4" s="87"/>
      <c r="U4" s="87"/>
      <c r="V4" s="87"/>
      <c r="W4" s="87"/>
      <c r="X4" s="87"/>
      <c r="Y4" s="87"/>
    </row>
    <row r="5" spans="1:25" ht="16.95" customHeight="1">
      <c r="A5" s="87"/>
      <c r="B5" s="107" t="s">
        <v>19</v>
      </c>
      <c r="C5" s="106"/>
      <c r="D5" s="106"/>
      <c r="E5" s="106"/>
      <c r="F5" s="108"/>
      <c r="G5" s="107" t="s">
        <v>244</v>
      </c>
      <c r="H5" s="106"/>
      <c r="I5" s="106"/>
      <c r="J5" s="106"/>
      <c r="K5" s="108"/>
      <c r="L5" s="107" t="s">
        <v>20</v>
      </c>
      <c r="M5" s="106"/>
      <c r="N5" s="106"/>
      <c r="O5" s="106"/>
      <c r="P5" s="108"/>
      <c r="Q5" s="107" t="s">
        <v>245</v>
      </c>
      <c r="R5" s="106"/>
      <c r="S5" s="106"/>
      <c r="T5" s="106"/>
      <c r="U5" s="108"/>
      <c r="V5" s="87"/>
      <c r="W5" s="87"/>
      <c r="X5" s="87"/>
      <c r="Y5" s="87"/>
    </row>
    <row r="6" spans="1:25" ht="16.95" customHeight="1">
      <c r="A6" s="87"/>
      <c r="B6" s="110"/>
      <c r="C6" s="104"/>
      <c r="D6" s="104"/>
      <c r="E6" s="104"/>
      <c r="F6" s="111"/>
      <c r="G6" s="110"/>
      <c r="H6" s="104"/>
      <c r="I6" s="104"/>
      <c r="J6" s="104"/>
      <c r="K6" s="111"/>
      <c r="L6" s="110"/>
      <c r="M6" s="104"/>
      <c r="N6" s="104"/>
      <c r="O6" s="104"/>
      <c r="P6" s="111"/>
      <c r="Q6" s="110"/>
      <c r="R6" s="104"/>
      <c r="S6" s="104"/>
      <c r="T6" s="104"/>
      <c r="U6" s="111"/>
      <c r="V6" s="87"/>
      <c r="W6" s="87"/>
      <c r="X6" s="87"/>
      <c r="Y6" s="87"/>
    </row>
    <row r="7" spans="1:25" ht="16.95" customHeight="1">
      <c r="A7" s="87"/>
      <c r="B7" s="112">
        <f>SUM(Sheet1!H456:H465)</f>
        <v>536000</v>
      </c>
      <c r="C7" s="109"/>
      <c r="D7" s="109"/>
      <c r="E7" s="109"/>
      <c r="F7" s="113"/>
      <c r="G7" s="117">
        <f>COUNTA(Sheet1!B456:B465)</f>
        <v>10</v>
      </c>
      <c r="H7" s="105"/>
      <c r="I7" s="105"/>
      <c r="J7" s="105"/>
      <c r="K7" s="118"/>
      <c r="L7" s="112">
        <f>AVERAGE(Sheet1!H456:H465)</f>
        <v>53600</v>
      </c>
      <c r="M7" s="109"/>
      <c r="N7" s="109"/>
      <c r="O7" s="109"/>
      <c r="P7" s="113"/>
      <c r="Q7" s="112">
        <f>MAX(Sheet1!H456:H465)</f>
        <v>120000</v>
      </c>
      <c r="R7" s="109"/>
      <c r="S7" s="109"/>
      <c r="T7" s="109"/>
      <c r="U7" s="113"/>
      <c r="V7" s="87"/>
      <c r="W7" s="87"/>
      <c r="X7" s="87"/>
      <c r="Y7" s="87"/>
    </row>
    <row r="8" spans="1:25" ht="16.95" customHeight="1">
      <c r="A8" s="87"/>
      <c r="B8" s="114"/>
      <c r="C8" s="115"/>
      <c r="D8" s="115"/>
      <c r="E8" s="115"/>
      <c r="F8" s="116"/>
      <c r="G8" s="119"/>
      <c r="H8" s="120"/>
      <c r="I8" s="120"/>
      <c r="J8" s="120"/>
      <c r="K8" s="121"/>
      <c r="L8" s="114"/>
      <c r="M8" s="115"/>
      <c r="N8" s="115"/>
      <c r="O8" s="115"/>
      <c r="P8" s="116"/>
      <c r="Q8" s="114"/>
      <c r="R8" s="115"/>
      <c r="S8" s="115"/>
      <c r="T8" s="115"/>
      <c r="U8" s="116"/>
      <c r="V8" s="87"/>
      <c r="W8" s="87"/>
      <c r="X8" s="87"/>
      <c r="Y8" s="87"/>
    </row>
    <row r="9" spans="1:25">
      <c r="A9" s="87"/>
      <c r="B9" s="87"/>
      <c r="C9" s="87"/>
      <c r="D9" s="87"/>
      <c r="E9" s="87"/>
      <c r="F9" s="87"/>
      <c r="G9" s="87"/>
      <c r="H9" s="87"/>
      <c r="I9" s="87"/>
      <c r="J9" s="87"/>
      <c r="K9" s="87"/>
      <c r="L9" s="87"/>
      <c r="M9" s="87"/>
      <c r="N9" s="87"/>
      <c r="O9" s="87"/>
      <c r="P9" s="87"/>
      <c r="Q9" s="87"/>
      <c r="R9" s="87"/>
      <c r="S9" s="87"/>
      <c r="T9" s="87"/>
      <c r="U9" s="87"/>
      <c r="V9" s="87"/>
      <c r="W9" s="87"/>
      <c r="X9" s="87"/>
      <c r="Y9" s="87"/>
    </row>
    <row r="10" spans="1:25">
      <c r="A10" s="87"/>
      <c r="B10" s="87"/>
      <c r="C10" s="87"/>
      <c r="D10" s="87"/>
      <c r="E10" s="87"/>
      <c r="F10" s="87"/>
      <c r="G10" s="87"/>
      <c r="H10" s="87"/>
      <c r="I10" s="87"/>
      <c r="J10" s="87"/>
      <c r="K10" s="87"/>
      <c r="L10" s="87"/>
      <c r="M10" s="87"/>
      <c r="N10" s="87"/>
      <c r="O10" s="87"/>
      <c r="P10" s="87"/>
      <c r="Q10" s="87"/>
      <c r="R10" s="87"/>
      <c r="S10" s="87"/>
      <c r="T10" s="87"/>
      <c r="U10" s="87"/>
      <c r="V10" s="87"/>
      <c r="W10" s="87"/>
      <c r="X10" s="87"/>
      <c r="Y10" s="87"/>
    </row>
    <row r="11" spans="1:25">
      <c r="A11" s="87"/>
      <c r="B11" s="87"/>
      <c r="C11" s="87"/>
      <c r="D11" s="87"/>
      <c r="E11" s="87"/>
      <c r="F11" s="87"/>
      <c r="G11" s="87"/>
      <c r="H11" s="87"/>
      <c r="I11" s="87"/>
      <c r="J11" s="87"/>
      <c r="K11" s="87"/>
      <c r="L11" s="87"/>
      <c r="M11" s="87"/>
      <c r="N11" s="87"/>
      <c r="O11" s="87"/>
      <c r="P11" s="87"/>
      <c r="Q11" s="87"/>
      <c r="R11" s="87"/>
      <c r="S11" s="87"/>
      <c r="T11" s="87"/>
      <c r="U11" s="87"/>
      <c r="V11" s="87"/>
      <c r="W11" s="87"/>
      <c r="X11" s="87"/>
      <c r="Y11" s="87"/>
    </row>
    <row r="12" spans="1:25">
      <c r="A12" s="87"/>
      <c r="B12" s="87"/>
      <c r="C12" s="87"/>
      <c r="D12" s="87"/>
      <c r="E12" s="87"/>
      <c r="F12" s="87"/>
      <c r="G12" s="87"/>
      <c r="H12" s="87"/>
      <c r="I12" s="87"/>
      <c r="J12" s="87"/>
      <c r="K12" s="87"/>
      <c r="L12" s="87"/>
      <c r="M12" s="87"/>
      <c r="N12" s="87"/>
      <c r="O12" s="87"/>
      <c r="P12" s="87"/>
      <c r="Q12" s="87"/>
      <c r="R12" s="87"/>
      <c r="S12" s="87"/>
      <c r="T12" s="87"/>
      <c r="U12" s="87"/>
      <c r="V12" s="87"/>
      <c r="W12" s="87"/>
      <c r="X12" s="87"/>
      <c r="Y12" s="87"/>
    </row>
    <row r="13" spans="1:25">
      <c r="A13" s="87"/>
      <c r="B13" s="87"/>
      <c r="C13" s="87"/>
      <c r="D13" s="87"/>
      <c r="E13" s="87"/>
      <c r="F13" s="87"/>
      <c r="G13" s="87"/>
      <c r="H13" s="87"/>
      <c r="I13" s="87"/>
      <c r="J13" s="87"/>
      <c r="K13" s="87"/>
      <c r="L13" s="87"/>
      <c r="M13" s="87"/>
      <c r="N13" s="87"/>
      <c r="O13" s="87"/>
      <c r="P13" s="87"/>
      <c r="Q13" s="87"/>
      <c r="R13" s="87"/>
      <c r="S13" s="87"/>
      <c r="T13" s="87"/>
      <c r="U13" s="87"/>
      <c r="V13" s="87"/>
      <c r="W13" s="87"/>
      <c r="X13" s="87"/>
      <c r="Y13" s="87"/>
    </row>
    <row r="14" spans="1:25">
      <c r="A14" s="87"/>
      <c r="B14" s="87"/>
      <c r="C14" s="87"/>
      <c r="D14" s="87"/>
      <c r="E14" s="87"/>
      <c r="F14" s="87"/>
      <c r="G14" s="87"/>
      <c r="H14" s="87"/>
      <c r="I14" s="87"/>
      <c r="J14" s="87"/>
      <c r="K14" s="87"/>
      <c r="L14" s="87"/>
      <c r="M14" s="87"/>
      <c r="N14" s="87"/>
      <c r="O14" s="87"/>
      <c r="P14" s="87"/>
      <c r="Q14" s="87"/>
      <c r="R14" s="87"/>
      <c r="S14" s="87"/>
      <c r="T14" s="87"/>
      <c r="U14" s="87"/>
      <c r="V14" s="87"/>
      <c r="W14" s="87"/>
      <c r="X14" s="87"/>
      <c r="Y14" s="87"/>
    </row>
    <row r="15" spans="1:25">
      <c r="A15" s="87"/>
      <c r="B15" s="87"/>
      <c r="C15" s="87"/>
      <c r="D15" s="87"/>
      <c r="E15" s="87"/>
      <c r="F15" s="87"/>
      <c r="G15" s="87"/>
      <c r="H15" s="87"/>
      <c r="I15" s="87"/>
      <c r="J15" s="87"/>
      <c r="K15" s="87"/>
      <c r="L15" s="87"/>
      <c r="M15" s="87"/>
      <c r="N15" s="87"/>
      <c r="O15" s="87"/>
      <c r="P15" s="87"/>
      <c r="Q15" s="87"/>
      <c r="R15" s="87"/>
      <c r="S15" s="87"/>
      <c r="T15" s="87"/>
      <c r="U15" s="87"/>
      <c r="V15" s="87"/>
      <c r="W15" s="87"/>
      <c r="X15" s="87"/>
      <c r="Y15" s="87"/>
    </row>
    <row r="16" spans="1:25">
      <c r="A16" s="87"/>
      <c r="B16" s="87"/>
      <c r="C16" s="87"/>
      <c r="D16" s="87"/>
      <c r="E16" s="87"/>
      <c r="F16" s="87"/>
      <c r="G16" s="87"/>
      <c r="H16" s="87"/>
      <c r="I16" s="87"/>
      <c r="J16" s="87"/>
      <c r="K16" s="87"/>
      <c r="L16" s="87"/>
      <c r="M16" s="87"/>
      <c r="N16" s="87"/>
      <c r="O16" s="87"/>
      <c r="P16" s="87"/>
      <c r="Q16" s="87"/>
      <c r="R16" s="87"/>
      <c r="S16" s="87"/>
      <c r="T16" s="87"/>
      <c r="U16" s="87"/>
      <c r="V16" s="87"/>
      <c r="W16" s="87"/>
      <c r="X16" s="87"/>
      <c r="Y16" s="87"/>
    </row>
    <row r="17" spans="1:25">
      <c r="A17" s="87"/>
      <c r="B17" s="87"/>
      <c r="C17" s="87"/>
      <c r="D17" s="87"/>
      <c r="E17" s="87"/>
      <c r="F17" s="87"/>
      <c r="G17" s="87"/>
      <c r="H17" s="87"/>
      <c r="I17" s="87"/>
      <c r="J17" s="87"/>
      <c r="K17" s="87"/>
      <c r="L17" s="87"/>
      <c r="M17" s="87"/>
      <c r="N17" s="87"/>
      <c r="O17" s="87"/>
      <c r="P17" s="87"/>
      <c r="Q17" s="87"/>
      <c r="R17" s="87"/>
      <c r="S17" s="87"/>
      <c r="T17" s="87"/>
      <c r="U17" s="87"/>
      <c r="V17" s="87"/>
      <c r="W17" s="87"/>
      <c r="X17" s="87"/>
      <c r="Y17" s="87"/>
    </row>
    <row r="18" spans="1:25">
      <c r="A18" s="87"/>
      <c r="B18" s="87"/>
      <c r="C18" s="87"/>
      <c r="D18" s="87"/>
      <c r="E18" s="87"/>
      <c r="F18" s="87"/>
      <c r="G18" s="87"/>
      <c r="H18" s="87"/>
      <c r="I18" s="87"/>
      <c r="J18" s="87"/>
      <c r="K18" s="87"/>
      <c r="L18" s="87"/>
      <c r="M18" s="87"/>
      <c r="N18" s="87"/>
      <c r="O18" s="87"/>
      <c r="P18" s="87"/>
      <c r="Q18" s="87"/>
      <c r="R18" s="87"/>
      <c r="S18" s="87"/>
      <c r="T18" s="87"/>
      <c r="U18" s="87"/>
      <c r="V18" s="87"/>
      <c r="W18" s="87"/>
      <c r="X18" s="87"/>
      <c r="Y18" s="87"/>
    </row>
    <row r="19" spans="1:25">
      <c r="A19" s="87"/>
      <c r="B19" s="87"/>
      <c r="C19" s="87"/>
      <c r="D19" s="87"/>
      <c r="E19" s="87"/>
      <c r="F19" s="87"/>
      <c r="G19" s="87"/>
      <c r="H19" s="87"/>
      <c r="I19" s="87"/>
      <c r="J19" s="87"/>
      <c r="K19" s="87"/>
      <c r="L19" s="87"/>
      <c r="M19" s="87"/>
      <c r="N19" s="87"/>
      <c r="O19" s="87"/>
      <c r="P19" s="87"/>
      <c r="Q19" s="87"/>
      <c r="R19" s="87"/>
      <c r="S19" s="87"/>
      <c r="T19" s="87"/>
      <c r="U19" s="87"/>
      <c r="V19" s="87"/>
      <c r="W19" s="87"/>
      <c r="X19" s="87"/>
      <c r="Y19" s="87"/>
    </row>
    <row r="20" spans="1:25">
      <c r="A20" s="87"/>
      <c r="B20" s="87"/>
      <c r="C20" s="87"/>
      <c r="D20" s="87"/>
      <c r="E20" s="87"/>
      <c r="F20" s="87"/>
      <c r="G20" s="87"/>
      <c r="H20" s="87"/>
      <c r="I20" s="87"/>
      <c r="J20" s="87"/>
      <c r="K20" s="87"/>
      <c r="L20" s="87"/>
      <c r="M20" s="87"/>
      <c r="N20" s="87"/>
      <c r="O20" s="87"/>
      <c r="P20" s="87"/>
      <c r="Q20" s="87"/>
      <c r="R20" s="87"/>
      <c r="S20" s="87"/>
      <c r="T20" s="87"/>
      <c r="U20" s="87"/>
      <c r="V20" s="87"/>
      <c r="W20" s="87"/>
      <c r="X20" s="87"/>
      <c r="Y20" s="87"/>
    </row>
    <row r="21" spans="1:25">
      <c r="A21" s="87"/>
      <c r="B21" s="87"/>
      <c r="C21" s="87"/>
      <c r="D21" s="87"/>
      <c r="E21" s="87"/>
      <c r="F21" s="87"/>
      <c r="G21" s="87"/>
      <c r="H21" s="87"/>
      <c r="I21" s="87"/>
      <c r="J21" s="87"/>
      <c r="K21" s="87"/>
      <c r="L21" s="87"/>
      <c r="M21" s="87"/>
      <c r="N21" s="87"/>
      <c r="O21" s="87"/>
      <c r="P21" s="87"/>
      <c r="Q21" s="87"/>
      <c r="R21" s="87"/>
      <c r="S21" s="87"/>
      <c r="T21" s="87"/>
      <c r="U21" s="87"/>
      <c r="V21" s="87"/>
      <c r="W21" s="87"/>
      <c r="X21" s="87"/>
      <c r="Y21" s="87"/>
    </row>
    <row r="22" spans="1:25">
      <c r="A22" s="87"/>
      <c r="B22" s="87"/>
      <c r="C22" s="87"/>
      <c r="D22" s="87"/>
      <c r="E22" s="87"/>
      <c r="F22" s="87"/>
      <c r="G22" s="87"/>
      <c r="H22" s="87"/>
      <c r="I22" s="87"/>
      <c r="J22" s="87"/>
      <c r="K22" s="87"/>
      <c r="L22" s="87"/>
      <c r="M22" s="87"/>
      <c r="N22" s="87"/>
      <c r="O22" s="87"/>
      <c r="P22" s="87"/>
      <c r="Q22" s="87"/>
      <c r="R22" s="87"/>
      <c r="S22" s="87"/>
      <c r="T22" s="87"/>
      <c r="U22" s="87"/>
      <c r="V22" s="87"/>
      <c r="W22" s="87"/>
      <c r="X22" s="87"/>
      <c r="Y22" s="87"/>
    </row>
    <row r="23" spans="1:25">
      <c r="A23" s="87"/>
      <c r="B23" s="87"/>
      <c r="C23" s="87"/>
      <c r="D23" s="87"/>
      <c r="E23" s="87"/>
      <c r="F23" s="87"/>
      <c r="G23" s="87"/>
      <c r="H23" s="87"/>
      <c r="I23" s="87"/>
      <c r="J23" s="87"/>
      <c r="K23" s="87"/>
      <c r="L23" s="87"/>
      <c r="M23" s="87"/>
      <c r="N23" s="87"/>
      <c r="O23" s="87"/>
      <c r="P23" s="87"/>
      <c r="Q23" s="87"/>
      <c r="R23" s="87"/>
      <c r="S23" s="87"/>
      <c r="T23" s="87"/>
      <c r="U23" s="87"/>
      <c r="V23" s="87"/>
      <c r="W23" s="87"/>
      <c r="X23" s="87"/>
      <c r="Y23" s="87"/>
    </row>
    <row r="24" spans="1:25">
      <c r="A24" s="87"/>
      <c r="B24" s="87"/>
      <c r="C24" s="87"/>
      <c r="D24" s="87"/>
      <c r="E24" s="87"/>
      <c r="F24" s="87"/>
      <c r="G24" s="87"/>
      <c r="H24" s="87"/>
      <c r="I24" s="87"/>
      <c r="J24" s="87"/>
      <c r="K24" s="87"/>
      <c r="L24" s="87"/>
      <c r="M24" s="87"/>
      <c r="N24" s="87"/>
      <c r="O24" s="87"/>
      <c r="P24" s="87"/>
      <c r="Q24" s="87"/>
      <c r="R24" s="87"/>
      <c r="S24" s="87"/>
      <c r="T24" s="87"/>
      <c r="U24" s="87"/>
      <c r="V24" s="87"/>
      <c r="W24" s="87"/>
      <c r="X24" s="87"/>
      <c r="Y24" s="87"/>
    </row>
    <row r="25" spans="1:25">
      <c r="A25" s="87"/>
      <c r="B25" s="87"/>
      <c r="C25" s="87"/>
      <c r="D25" s="87"/>
      <c r="E25" s="87"/>
      <c r="F25" s="87"/>
      <c r="G25" s="87"/>
      <c r="H25" s="87"/>
      <c r="I25" s="87"/>
      <c r="J25" s="87"/>
      <c r="K25" s="87"/>
      <c r="L25" s="87"/>
      <c r="M25" s="87"/>
      <c r="N25" s="87"/>
      <c r="O25" s="87"/>
      <c r="P25" s="87"/>
      <c r="Q25" s="87"/>
      <c r="R25" s="87"/>
      <c r="S25" s="87"/>
      <c r="T25" s="87"/>
      <c r="U25" s="87"/>
      <c r="V25" s="87"/>
      <c r="W25" s="87"/>
      <c r="X25" s="87"/>
      <c r="Y25" s="87"/>
    </row>
    <row r="26" spans="1:25">
      <c r="A26" s="87"/>
      <c r="B26" s="87"/>
      <c r="C26" s="87"/>
      <c r="D26" s="87"/>
      <c r="E26" s="87"/>
      <c r="F26" s="87"/>
      <c r="G26" s="87"/>
      <c r="H26" s="87"/>
      <c r="I26" s="87"/>
      <c r="J26" s="87"/>
      <c r="K26" s="87"/>
      <c r="L26" s="87"/>
      <c r="M26" s="87"/>
      <c r="N26" s="87"/>
      <c r="O26" s="87"/>
      <c r="P26" s="87"/>
      <c r="Q26" s="87"/>
      <c r="R26" s="87"/>
      <c r="S26" s="87"/>
      <c r="T26" s="87"/>
      <c r="U26" s="87"/>
      <c r="V26" s="87"/>
      <c r="W26" s="87"/>
      <c r="X26" s="87"/>
      <c r="Y26" s="87"/>
    </row>
    <row r="27" spans="1:25">
      <c r="A27" s="87"/>
      <c r="B27" s="87"/>
      <c r="C27" s="87"/>
      <c r="D27" s="87"/>
      <c r="E27" s="87"/>
      <c r="F27" s="87"/>
      <c r="G27" s="87"/>
      <c r="H27" s="87"/>
      <c r="I27" s="87"/>
      <c r="J27" s="87"/>
      <c r="K27" s="87"/>
      <c r="L27" s="87"/>
      <c r="M27" s="87"/>
      <c r="N27" s="87"/>
      <c r="O27" s="87"/>
      <c r="P27" s="87"/>
      <c r="Q27" s="87"/>
      <c r="R27" s="87"/>
      <c r="S27" s="87"/>
      <c r="T27" s="87"/>
      <c r="U27" s="87"/>
      <c r="V27" s="87"/>
      <c r="W27" s="87"/>
      <c r="X27" s="87"/>
      <c r="Y27" s="87"/>
    </row>
    <row r="28" spans="1:25">
      <c r="A28" s="87"/>
      <c r="B28" s="87"/>
      <c r="C28" s="87"/>
      <c r="D28" s="87"/>
      <c r="E28" s="87"/>
      <c r="F28" s="87"/>
      <c r="G28" s="87"/>
      <c r="H28" s="87"/>
      <c r="I28" s="87"/>
      <c r="J28" s="87"/>
      <c r="K28" s="87"/>
      <c r="L28" s="87"/>
      <c r="M28" s="87"/>
      <c r="N28" s="87"/>
      <c r="O28" s="87"/>
      <c r="P28" s="87"/>
      <c r="Q28" s="87"/>
      <c r="R28" s="87"/>
      <c r="S28" s="87"/>
      <c r="T28" s="87"/>
      <c r="U28" s="87"/>
      <c r="V28" s="87"/>
      <c r="W28" s="87"/>
      <c r="X28" s="87"/>
      <c r="Y28" s="87"/>
    </row>
    <row r="29" spans="1:25">
      <c r="A29" s="87"/>
      <c r="B29" s="87"/>
      <c r="C29" s="87"/>
      <c r="D29" s="87"/>
      <c r="E29" s="87"/>
      <c r="F29" s="87"/>
      <c r="G29" s="87"/>
      <c r="H29" s="87"/>
      <c r="I29" s="87"/>
      <c r="J29" s="87"/>
      <c r="K29" s="87"/>
      <c r="L29" s="87"/>
      <c r="M29" s="87"/>
      <c r="N29" s="87"/>
      <c r="O29" s="87"/>
      <c r="P29" s="87"/>
      <c r="Q29" s="87"/>
      <c r="R29" s="87"/>
      <c r="S29" s="87"/>
      <c r="T29" s="87"/>
      <c r="U29" s="87"/>
      <c r="V29" s="87"/>
      <c r="W29" s="87"/>
      <c r="X29" s="87"/>
      <c r="Y29" s="87"/>
    </row>
    <row r="30" spans="1:25">
      <c r="A30" s="87"/>
      <c r="B30" s="87"/>
      <c r="C30" s="87"/>
      <c r="D30" s="87"/>
      <c r="E30" s="87"/>
      <c r="F30" s="87"/>
      <c r="G30" s="87"/>
      <c r="H30" s="87"/>
      <c r="I30" s="87"/>
      <c r="J30" s="87"/>
      <c r="K30" s="87"/>
      <c r="L30" s="87"/>
      <c r="M30" s="87"/>
      <c r="N30" s="87"/>
      <c r="O30" s="87"/>
      <c r="P30" s="87"/>
      <c r="Q30" s="87"/>
      <c r="R30" s="87"/>
      <c r="S30" s="87"/>
      <c r="T30" s="87"/>
      <c r="U30" s="87"/>
      <c r="V30" s="87"/>
      <c r="W30" s="87"/>
      <c r="X30" s="87"/>
      <c r="Y30" s="87"/>
    </row>
    <row r="31" spans="1:25">
      <c r="A31" s="87"/>
      <c r="B31" s="87"/>
      <c r="C31" s="87"/>
      <c r="D31" s="87"/>
      <c r="E31" s="87"/>
      <c r="F31" s="87"/>
      <c r="G31" s="87"/>
      <c r="H31" s="87"/>
      <c r="I31" s="87"/>
      <c r="J31" s="87"/>
      <c r="K31" s="87"/>
      <c r="L31" s="87"/>
      <c r="M31" s="87"/>
      <c r="N31" s="87"/>
      <c r="O31" s="87"/>
      <c r="P31" s="87"/>
      <c r="Q31" s="87"/>
      <c r="R31" s="87"/>
      <c r="S31" s="87"/>
      <c r="T31" s="87"/>
      <c r="U31" s="87"/>
      <c r="V31" s="87"/>
      <c r="W31" s="87"/>
      <c r="X31" s="87"/>
      <c r="Y31" s="87"/>
    </row>
    <row r="32" spans="1:25">
      <c r="A32" s="87"/>
      <c r="B32" s="87"/>
      <c r="C32" s="87"/>
      <c r="D32" s="87"/>
      <c r="E32" s="87"/>
      <c r="F32" s="87"/>
      <c r="G32" s="87"/>
      <c r="H32" s="87"/>
      <c r="I32" s="87"/>
      <c r="J32" s="87"/>
      <c r="K32" s="87"/>
      <c r="L32" s="87"/>
      <c r="M32" s="87"/>
      <c r="N32" s="87"/>
      <c r="O32" s="87"/>
      <c r="P32" s="87"/>
      <c r="Q32" s="87"/>
      <c r="R32" s="87"/>
      <c r="S32" s="87"/>
      <c r="T32" s="87"/>
      <c r="U32" s="87"/>
      <c r="V32" s="87"/>
      <c r="W32" s="87"/>
      <c r="X32" s="87"/>
      <c r="Y32" s="87"/>
    </row>
    <row r="33" spans="1:25">
      <c r="A33" s="87"/>
      <c r="B33" s="87"/>
      <c r="C33" s="87"/>
      <c r="D33" s="87"/>
      <c r="E33" s="87"/>
      <c r="F33" s="87"/>
      <c r="G33" s="87"/>
      <c r="H33" s="87"/>
      <c r="I33" s="87"/>
      <c r="J33" s="87"/>
      <c r="K33" s="87"/>
      <c r="L33" s="87"/>
      <c r="M33" s="87"/>
      <c r="N33" s="87"/>
      <c r="O33" s="87"/>
      <c r="P33" s="87"/>
      <c r="Q33" s="87"/>
      <c r="R33" s="87"/>
      <c r="S33" s="87"/>
      <c r="T33" s="87"/>
      <c r="U33" s="87"/>
      <c r="V33" s="87"/>
      <c r="W33" s="87"/>
      <c r="X33" s="87"/>
      <c r="Y33" s="87"/>
    </row>
    <row r="34" spans="1:25">
      <c r="A34" s="87"/>
      <c r="B34" s="87"/>
      <c r="C34" s="87"/>
      <c r="D34" s="87"/>
      <c r="E34" s="87"/>
      <c r="F34" s="87"/>
      <c r="G34" s="87"/>
      <c r="H34" s="87"/>
      <c r="I34" s="87"/>
      <c r="J34" s="87"/>
      <c r="K34" s="87"/>
      <c r="L34" s="87"/>
      <c r="M34" s="87"/>
      <c r="N34" s="87"/>
      <c r="O34" s="87"/>
      <c r="P34" s="87"/>
      <c r="Q34" s="87"/>
      <c r="R34" s="87"/>
      <c r="S34" s="87"/>
      <c r="T34" s="87"/>
      <c r="U34" s="87"/>
      <c r="V34" s="87"/>
      <c r="W34" s="87"/>
      <c r="X34" s="87"/>
      <c r="Y34" s="87"/>
    </row>
    <row r="35" spans="1:25">
      <c r="A35" s="87"/>
      <c r="B35" s="87"/>
      <c r="C35" s="87"/>
      <c r="D35" s="87"/>
      <c r="E35" s="87"/>
      <c r="F35" s="87"/>
      <c r="G35" s="87"/>
      <c r="H35" s="87"/>
      <c r="I35" s="87"/>
      <c r="J35" s="87"/>
      <c r="K35" s="87"/>
      <c r="L35" s="87"/>
      <c r="M35" s="87"/>
      <c r="N35" s="87"/>
      <c r="O35" s="87"/>
      <c r="P35" s="87"/>
      <c r="Q35" s="87"/>
      <c r="R35" s="87"/>
      <c r="S35" s="87"/>
      <c r="T35" s="87"/>
      <c r="U35" s="87"/>
      <c r="V35" s="87"/>
      <c r="W35" s="87"/>
      <c r="X35" s="87"/>
      <c r="Y35" s="87"/>
    </row>
    <row r="36" spans="1:25">
      <c r="A36" s="87"/>
      <c r="B36" s="87"/>
      <c r="C36" s="87"/>
      <c r="D36" s="87"/>
      <c r="E36" s="87"/>
      <c r="F36" s="87"/>
      <c r="G36" s="87"/>
      <c r="H36" s="87"/>
      <c r="I36" s="87"/>
      <c r="J36" s="87"/>
      <c r="K36" s="87"/>
      <c r="L36" s="87"/>
      <c r="M36" s="87"/>
      <c r="N36" s="87"/>
      <c r="O36" s="87"/>
      <c r="P36" s="87"/>
      <c r="Q36" s="87"/>
      <c r="R36" s="87"/>
      <c r="S36" s="87"/>
      <c r="T36" s="87"/>
      <c r="U36" s="87"/>
      <c r="V36" s="87"/>
      <c r="W36" s="87"/>
      <c r="X36" s="87"/>
      <c r="Y36" s="87"/>
    </row>
    <row r="37" spans="1:25">
      <c r="A37" s="87"/>
      <c r="B37" s="87"/>
      <c r="C37" s="87"/>
      <c r="D37" s="87"/>
      <c r="E37" s="87"/>
      <c r="F37" s="87"/>
      <c r="G37" s="87"/>
      <c r="H37" s="87"/>
      <c r="I37" s="87"/>
      <c r="J37" s="87"/>
      <c r="K37" s="87"/>
      <c r="L37" s="87"/>
      <c r="M37" s="87"/>
      <c r="N37" s="87"/>
      <c r="O37" s="87"/>
      <c r="P37" s="87"/>
      <c r="Q37" s="87"/>
      <c r="R37" s="87"/>
      <c r="S37" s="87"/>
      <c r="T37" s="87"/>
      <c r="U37" s="87"/>
      <c r="V37" s="87"/>
      <c r="W37" s="87"/>
      <c r="X37" s="87"/>
      <c r="Y37" s="87"/>
    </row>
    <row r="38" spans="1:25">
      <c r="A38" s="87"/>
      <c r="B38" s="87"/>
      <c r="C38" s="87"/>
      <c r="D38" s="87"/>
      <c r="E38" s="87"/>
      <c r="F38" s="87"/>
      <c r="G38" s="87"/>
      <c r="H38" s="87"/>
      <c r="I38" s="87"/>
      <c r="J38" s="87"/>
      <c r="K38" s="87"/>
      <c r="L38" s="87"/>
      <c r="M38" s="87"/>
      <c r="N38" s="87"/>
      <c r="O38" s="87"/>
      <c r="P38" s="87"/>
      <c r="Q38" s="87"/>
      <c r="R38" s="87"/>
      <c r="S38" s="87"/>
      <c r="T38" s="87"/>
      <c r="U38" s="87"/>
      <c r="V38" s="87"/>
      <c r="W38" s="87"/>
      <c r="X38" s="87"/>
      <c r="Y38" s="87"/>
    </row>
    <row r="39" spans="1:25">
      <c r="A39" s="87"/>
      <c r="B39" s="87"/>
      <c r="C39" s="87"/>
      <c r="D39" s="87"/>
      <c r="E39" s="87"/>
      <c r="F39" s="87"/>
      <c r="G39" s="87"/>
      <c r="H39" s="87"/>
      <c r="I39" s="87"/>
      <c r="J39" s="87"/>
      <c r="K39" s="87"/>
      <c r="L39" s="87"/>
      <c r="M39" s="87"/>
      <c r="N39" s="87"/>
      <c r="O39" s="87"/>
      <c r="P39" s="87"/>
      <c r="Q39" s="87"/>
      <c r="R39" s="87"/>
      <c r="S39" s="87"/>
      <c r="T39" s="87"/>
      <c r="U39" s="87"/>
      <c r="V39" s="87"/>
      <c r="W39" s="87"/>
      <c r="X39" s="87"/>
      <c r="Y39" s="87"/>
    </row>
    <row r="40" spans="1:25">
      <c r="A40" s="87"/>
      <c r="B40" s="87"/>
      <c r="C40" s="87"/>
      <c r="D40" s="87"/>
      <c r="E40" s="87"/>
      <c r="F40" s="87"/>
      <c r="G40" s="87"/>
      <c r="H40" s="87"/>
      <c r="I40" s="87"/>
      <c r="J40" s="87"/>
      <c r="K40" s="87"/>
      <c r="L40" s="87"/>
      <c r="M40" s="87"/>
      <c r="N40" s="87"/>
      <c r="O40" s="87"/>
      <c r="P40" s="87"/>
      <c r="Q40" s="87"/>
      <c r="R40" s="87"/>
      <c r="S40" s="87"/>
      <c r="T40" s="87"/>
      <c r="U40" s="87"/>
      <c r="V40" s="87"/>
      <c r="W40" s="87"/>
      <c r="X40" s="87"/>
      <c r="Y40" s="87"/>
    </row>
    <row r="41" spans="1:25">
      <c r="A41" s="87"/>
      <c r="B41" s="87"/>
      <c r="C41" s="87"/>
      <c r="D41" s="87"/>
      <c r="E41" s="87"/>
      <c r="F41" s="87"/>
      <c r="G41" s="87"/>
      <c r="H41" s="87"/>
      <c r="I41" s="87"/>
      <c r="J41" s="87"/>
      <c r="K41" s="87"/>
      <c r="L41" s="87"/>
      <c r="M41" s="87"/>
      <c r="N41" s="87"/>
      <c r="O41" s="87"/>
      <c r="P41" s="87"/>
      <c r="Q41" s="87"/>
      <c r="R41" s="87"/>
      <c r="S41" s="87"/>
      <c r="T41" s="87"/>
      <c r="U41" s="87"/>
      <c r="V41" s="87"/>
      <c r="W41" s="87"/>
      <c r="X41" s="87"/>
      <c r="Y41" s="87"/>
    </row>
    <row r="42" spans="1:25">
      <c r="A42" s="87"/>
      <c r="B42" s="87"/>
      <c r="C42" s="87"/>
      <c r="D42" s="87"/>
      <c r="E42" s="87"/>
      <c r="F42" s="87"/>
      <c r="G42" s="87"/>
      <c r="H42" s="87"/>
      <c r="I42" s="87"/>
      <c r="J42" s="87"/>
      <c r="K42" s="87"/>
      <c r="L42" s="87"/>
      <c r="M42" s="87"/>
      <c r="N42" s="87"/>
      <c r="O42" s="87"/>
      <c r="P42" s="87"/>
      <c r="Q42" s="87"/>
      <c r="R42" s="87"/>
      <c r="S42" s="87"/>
      <c r="T42" s="87"/>
      <c r="U42" s="87"/>
      <c r="V42" s="87"/>
      <c r="W42" s="87"/>
      <c r="X42" s="87"/>
      <c r="Y42" s="87"/>
    </row>
    <row r="43" spans="1:25">
      <c r="A43" s="87"/>
      <c r="B43" s="87"/>
      <c r="C43" s="87"/>
      <c r="D43" s="87"/>
      <c r="E43" s="87"/>
      <c r="F43" s="87"/>
      <c r="G43" s="87"/>
      <c r="H43" s="87"/>
      <c r="I43" s="87"/>
      <c r="J43" s="87"/>
      <c r="K43" s="87"/>
      <c r="L43" s="87"/>
      <c r="M43" s="87"/>
      <c r="N43" s="87"/>
      <c r="O43" s="87"/>
      <c r="P43" s="87"/>
      <c r="Q43" s="87"/>
      <c r="R43" s="87"/>
      <c r="S43" s="87"/>
      <c r="T43" s="87"/>
      <c r="U43" s="87"/>
      <c r="V43" s="87"/>
      <c r="W43" s="87"/>
      <c r="X43" s="87"/>
      <c r="Y43" s="87"/>
    </row>
    <row r="44" spans="1:25">
      <c r="A44" s="87"/>
      <c r="B44" s="87"/>
      <c r="C44" s="87"/>
      <c r="D44" s="87"/>
      <c r="E44" s="87"/>
      <c r="F44" s="87"/>
      <c r="G44" s="87"/>
      <c r="H44" s="87"/>
      <c r="I44" s="87"/>
      <c r="J44" s="87"/>
      <c r="K44" s="87"/>
      <c r="L44" s="87"/>
      <c r="M44" s="87"/>
      <c r="N44" s="87"/>
      <c r="O44" s="87"/>
      <c r="P44" s="87"/>
      <c r="Q44" s="87"/>
      <c r="R44" s="87"/>
      <c r="S44" s="87"/>
      <c r="T44" s="87"/>
      <c r="U44" s="87"/>
      <c r="V44" s="87"/>
      <c r="W44" s="87"/>
      <c r="X44" s="87"/>
      <c r="Y44" s="87"/>
    </row>
    <row r="45" spans="1:25">
      <c r="A45" s="87"/>
      <c r="B45" s="87"/>
      <c r="C45" s="87"/>
      <c r="D45" s="87"/>
      <c r="E45" s="87"/>
      <c r="F45" s="87"/>
      <c r="G45" s="87"/>
      <c r="H45" s="87"/>
      <c r="I45" s="87"/>
      <c r="J45" s="87"/>
      <c r="K45" s="87"/>
      <c r="L45" s="87"/>
      <c r="M45" s="87"/>
      <c r="N45" s="87"/>
      <c r="O45" s="87"/>
      <c r="P45" s="87"/>
      <c r="Q45" s="87"/>
      <c r="R45" s="87"/>
      <c r="S45" s="87"/>
      <c r="T45" s="87"/>
      <c r="U45" s="87"/>
      <c r="V45" s="87"/>
      <c r="W45" s="87"/>
      <c r="X45" s="87"/>
      <c r="Y45" s="87"/>
    </row>
    <row r="46" spans="1:25">
      <c r="A46" s="87"/>
      <c r="B46" s="87"/>
      <c r="C46" s="87"/>
      <c r="D46" s="87"/>
      <c r="E46" s="87"/>
      <c r="F46" s="87"/>
      <c r="G46" s="87"/>
      <c r="H46" s="87"/>
      <c r="I46" s="87"/>
      <c r="J46" s="87"/>
      <c r="K46" s="87"/>
      <c r="L46" s="87"/>
      <c r="M46" s="87"/>
      <c r="N46" s="87"/>
      <c r="O46" s="87"/>
      <c r="P46" s="87"/>
      <c r="Q46" s="87"/>
      <c r="R46" s="87"/>
      <c r="S46" s="87"/>
      <c r="T46" s="87"/>
      <c r="U46" s="87"/>
      <c r="V46" s="87"/>
      <c r="W46" s="87"/>
      <c r="X46" s="87"/>
      <c r="Y46" s="87"/>
    </row>
    <row r="47" spans="1:25">
      <c r="A47" s="87"/>
      <c r="B47" s="87"/>
      <c r="C47" s="87"/>
      <c r="D47" s="87"/>
      <c r="E47" s="87"/>
      <c r="F47" s="87"/>
      <c r="G47" s="87"/>
      <c r="H47" s="87"/>
      <c r="I47" s="87"/>
      <c r="J47" s="87"/>
      <c r="K47" s="87"/>
      <c r="L47" s="87"/>
      <c r="M47" s="87"/>
      <c r="N47" s="87"/>
      <c r="O47" s="87"/>
      <c r="P47" s="87"/>
      <c r="Q47" s="87"/>
      <c r="R47" s="87"/>
      <c r="S47" s="87"/>
      <c r="T47" s="87"/>
      <c r="U47" s="87"/>
      <c r="V47" s="87"/>
      <c r="W47" s="87"/>
      <c r="X47" s="87"/>
      <c r="Y47" s="87"/>
    </row>
    <row r="48" spans="1:25">
      <c r="A48" s="87"/>
      <c r="B48" s="87"/>
      <c r="C48" s="87"/>
      <c r="D48" s="87"/>
      <c r="E48" s="87"/>
      <c r="F48" s="87"/>
      <c r="G48" s="87"/>
      <c r="H48" s="87"/>
      <c r="I48" s="87"/>
      <c r="J48" s="87"/>
      <c r="K48" s="87"/>
      <c r="L48" s="87"/>
      <c r="M48" s="87"/>
      <c r="N48" s="87"/>
      <c r="O48" s="87"/>
      <c r="P48" s="87"/>
      <c r="Q48" s="87"/>
      <c r="R48" s="87"/>
      <c r="S48" s="87"/>
      <c r="T48" s="87"/>
      <c r="U48" s="87"/>
      <c r="V48" s="87"/>
      <c r="W48" s="87"/>
      <c r="X48" s="87"/>
      <c r="Y48" s="87"/>
    </row>
    <row r="49" spans="1:25">
      <c r="A49" s="87"/>
      <c r="B49" s="87"/>
      <c r="C49" s="87"/>
      <c r="D49" s="87"/>
      <c r="E49" s="87"/>
      <c r="F49" s="87"/>
      <c r="G49" s="87"/>
      <c r="H49" s="87"/>
      <c r="I49" s="87"/>
      <c r="J49" s="87"/>
      <c r="K49" s="87"/>
      <c r="L49" s="87"/>
      <c r="M49" s="87"/>
      <c r="N49" s="87"/>
      <c r="O49" s="87"/>
      <c r="P49" s="87"/>
      <c r="Q49" s="87"/>
      <c r="R49" s="87"/>
      <c r="S49" s="87"/>
      <c r="T49" s="87"/>
      <c r="U49" s="87"/>
      <c r="V49" s="87"/>
      <c r="W49" s="87"/>
      <c r="X49" s="87"/>
      <c r="Y49" s="87"/>
    </row>
    <row r="50" spans="1:25">
      <c r="A50" s="87"/>
      <c r="B50" s="87"/>
      <c r="C50" s="87"/>
      <c r="D50" s="87"/>
      <c r="E50" s="87"/>
      <c r="F50" s="87"/>
      <c r="G50" s="87"/>
      <c r="H50" s="87"/>
      <c r="I50" s="87"/>
      <c r="J50" s="87"/>
      <c r="K50" s="87"/>
      <c r="L50" s="87"/>
      <c r="M50" s="87"/>
      <c r="N50" s="87"/>
      <c r="O50" s="87"/>
      <c r="P50" s="87"/>
      <c r="Q50" s="87"/>
      <c r="R50" s="87"/>
      <c r="S50" s="87"/>
      <c r="T50" s="87"/>
      <c r="U50" s="87"/>
      <c r="V50" s="87"/>
      <c r="W50" s="87"/>
      <c r="X50" s="87"/>
      <c r="Y50" s="87"/>
    </row>
    <row r="51" spans="1:25">
      <c r="A51" s="87"/>
      <c r="B51" s="87"/>
      <c r="C51" s="87"/>
      <c r="D51" s="87"/>
      <c r="E51" s="87"/>
      <c r="F51" s="87"/>
      <c r="G51" s="87"/>
      <c r="H51" s="87"/>
      <c r="I51" s="87"/>
      <c r="J51" s="87"/>
      <c r="K51" s="87"/>
      <c r="L51" s="87"/>
      <c r="M51" s="87"/>
      <c r="N51" s="87"/>
      <c r="O51" s="87"/>
      <c r="P51" s="87"/>
      <c r="Q51" s="87"/>
      <c r="R51" s="87"/>
      <c r="S51" s="87"/>
      <c r="T51" s="87"/>
      <c r="U51" s="87"/>
      <c r="V51" s="87"/>
      <c r="W51" s="87"/>
      <c r="X51" s="87"/>
      <c r="Y51" s="87"/>
    </row>
    <row r="52" spans="1:25">
      <c r="A52" s="87"/>
      <c r="B52" s="87"/>
      <c r="C52" s="87"/>
      <c r="D52" s="87"/>
      <c r="E52" s="87"/>
      <c r="F52" s="87"/>
      <c r="G52" s="87"/>
      <c r="H52" s="87"/>
      <c r="I52" s="87"/>
      <c r="J52" s="87"/>
      <c r="K52" s="87"/>
      <c r="L52" s="87"/>
      <c r="M52" s="87"/>
      <c r="N52" s="87"/>
      <c r="O52" s="87"/>
      <c r="P52" s="87"/>
      <c r="Q52" s="87"/>
      <c r="R52" s="87"/>
      <c r="S52" s="87"/>
      <c r="T52" s="87"/>
      <c r="U52" s="87"/>
      <c r="V52" s="87"/>
      <c r="W52" s="87"/>
      <c r="X52" s="87"/>
      <c r="Y52" s="87"/>
    </row>
    <row r="53" spans="1:25">
      <c r="A53" s="87"/>
      <c r="B53" s="87"/>
      <c r="C53" s="87"/>
      <c r="D53" s="87"/>
      <c r="E53" s="87"/>
      <c r="F53" s="87"/>
      <c r="G53" s="87"/>
      <c r="H53" s="87"/>
      <c r="I53" s="87"/>
      <c r="J53" s="87"/>
      <c r="K53" s="87"/>
      <c r="L53" s="87"/>
      <c r="M53" s="87"/>
      <c r="N53" s="87"/>
      <c r="O53" s="87"/>
      <c r="P53" s="87"/>
      <c r="Q53" s="87"/>
      <c r="R53" s="87"/>
      <c r="S53" s="87"/>
      <c r="T53" s="87"/>
      <c r="U53" s="87"/>
      <c r="V53" s="87"/>
      <c r="W53" s="87"/>
      <c r="X53" s="87"/>
      <c r="Y53" s="87"/>
    </row>
    <row r="54" spans="1:25">
      <c r="A54" s="87"/>
      <c r="B54" s="87"/>
      <c r="C54" s="87"/>
      <c r="D54" s="87"/>
      <c r="E54" s="87"/>
      <c r="F54" s="87"/>
      <c r="G54" s="87"/>
      <c r="H54" s="87"/>
      <c r="I54" s="87"/>
      <c r="J54" s="87"/>
      <c r="K54" s="87"/>
      <c r="L54" s="87"/>
      <c r="M54" s="87"/>
      <c r="N54" s="87"/>
      <c r="O54" s="87"/>
      <c r="P54" s="87"/>
      <c r="Q54" s="87"/>
      <c r="R54" s="87"/>
      <c r="S54" s="87"/>
      <c r="T54" s="87"/>
      <c r="U54" s="87"/>
      <c r="V54" s="87"/>
      <c r="W54" s="87"/>
      <c r="X54" s="87"/>
      <c r="Y54" s="87"/>
    </row>
    <row r="55" spans="1:25">
      <c r="A55" s="87"/>
      <c r="B55" s="87"/>
      <c r="C55" s="87"/>
      <c r="D55" s="87"/>
      <c r="E55" s="87"/>
      <c r="F55" s="87"/>
      <c r="G55" s="87"/>
      <c r="H55" s="87"/>
      <c r="I55" s="87"/>
      <c r="J55" s="87"/>
      <c r="K55" s="87"/>
      <c r="L55" s="87"/>
      <c r="M55" s="87"/>
      <c r="N55" s="87"/>
      <c r="O55" s="87"/>
      <c r="P55" s="87"/>
      <c r="Q55" s="87"/>
      <c r="R55" s="87"/>
      <c r="S55" s="87"/>
      <c r="T55" s="87"/>
      <c r="U55" s="87"/>
      <c r="V55" s="87"/>
      <c r="W55" s="87"/>
      <c r="X55" s="87"/>
      <c r="Y55" s="87"/>
    </row>
  </sheetData>
  <mergeCells count="15">
    <mergeCell ref="A1:A55"/>
    <mergeCell ref="W1:Y3"/>
    <mergeCell ref="B4:Y4"/>
    <mergeCell ref="V5:Y8"/>
    <mergeCell ref="B9:Y55"/>
    <mergeCell ref="B1:U1"/>
    <mergeCell ref="Q7:U8"/>
    <mergeCell ref="B5:F6"/>
    <mergeCell ref="B7:F8"/>
    <mergeCell ref="G5:K6"/>
    <mergeCell ref="L5:P6"/>
    <mergeCell ref="Q5:U6"/>
    <mergeCell ref="B2:U3"/>
    <mergeCell ref="G7:K8"/>
    <mergeCell ref="L7:P8"/>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89070-52D3-4A56-B2D0-D85548715F85}">
  <dimension ref="A1:E2"/>
  <sheetViews>
    <sheetView workbookViewId="0">
      <selection activeCell="A2" sqref="A2:E2"/>
    </sheetView>
  </sheetViews>
  <sheetFormatPr defaultRowHeight="14.4"/>
  <sheetData>
    <row r="1" spans="1:5" ht="18">
      <c r="A1" s="103" t="s">
        <v>247</v>
      </c>
      <c r="B1" s="103"/>
      <c r="C1" s="103"/>
    </row>
    <row r="2" spans="1:5">
      <c r="A2" s="89" t="s">
        <v>248</v>
      </c>
      <c r="B2" s="89"/>
      <c r="C2" s="89"/>
      <c r="D2" s="89"/>
      <c r="E2" s="89"/>
    </row>
  </sheetData>
  <mergeCells count="2">
    <mergeCell ref="A1:C1"/>
    <mergeCell ref="A2:E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899C2-09E5-4420-85C6-541BD6606742}">
  <dimension ref="A2:E7"/>
  <sheetViews>
    <sheetView workbookViewId="0">
      <selection activeCell="D12" sqref="D12"/>
    </sheetView>
  </sheetViews>
  <sheetFormatPr defaultRowHeight="14.4"/>
  <cols>
    <col min="1" max="1" width="19.33203125" customWidth="1"/>
    <col min="2" max="2" width="14.88671875" customWidth="1"/>
    <col min="3" max="3" width="13.33203125" customWidth="1"/>
    <col min="4" max="4" width="14.6640625" customWidth="1"/>
    <col min="5" max="5" width="19.77734375" customWidth="1"/>
  </cols>
  <sheetData>
    <row r="2" spans="1:5">
      <c r="A2" s="1" t="s">
        <v>35</v>
      </c>
      <c r="B2" s="1" t="s">
        <v>0</v>
      </c>
      <c r="C2" s="1" t="s">
        <v>51</v>
      </c>
      <c r="D2" s="9" t="s">
        <v>52</v>
      </c>
      <c r="E2" s="1" t="s">
        <v>73</v>
      </c>
    </row>
    <row r="3" spans="1:5">
      <c r="A3" s="2" t="s">
        <v>74</v>
      </c>
      <c r="B3" s="2" t="s">
        <v>75</v>
      </c>
      <c r="C3" s="2" t="s">
        <v>13</v>
      </c>
      <c r="D3" s="10">
        <v>35000</v>
      </c>
      <c r="E3" s="2" t="s">
        <v>76</v>
      </c>
    </row>
    <row r="4" spans="1:5">
      <c r="A4" s="2" t="s">
        <v>77</v>
      </c>
      <c r="B4" s="2" t="s">
        <v>78</v>
      </c>
      <c r="C4" s="2" t="s">
        <v>55</v>
      </c>
      <c r="D4" s="10">
        <v>42000</v>
      </c>
      <c r="E4" s="2" t="s">
        <v>79</v>
      </c>
    </row>
    <row r="5" spans="1:5">
      <c r="A5" s="2" t="s">
        <v>80</v>
      </c>
      <c r="B5" s="2" t="s">
        <v>81</v>
      </c>
      <c r="C5" s="2" t="s">
        <v>57</v>
      </c>
      <c r="D5" s="10">
        <v>50000</v>
      </c>
      <c r="E5" s="2" t="s">
        <v>82</v>
      </c>
    </row>
    <row r="6" spans="1:5">
      <c r="A6" s="2" t="s">
        <v>83</v>
      </c>
      <c r="B6" s="2" t="s">
        <v>6</v>
      </c>
      <c r="C6" s="2" t="s">
        <v>59</v>
      </c>
      <c r="D6" s="10">
        <v>47000</v>
      </c>
      <c r="E6" s="2" t="s">
        <v>84</v>
      </c>
    </row>
    <row r="7" spans="1:5">
      <c r="A7" s="2" t="s">
        <v>85</v>
      </c>
      <c r="B7" s="2" t="s">
        <v>5</v>
      </c>
      <c r="C7" s="2" t="s">
        <v>86</v>
      </c>
      <c r="D7" s="10">
        <v>65000</v>
      </c>
      <c r="E7" s="2" t="s">
        <v>87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85AE6-1FF4-4965-B0F4-614CBBDB27C5}">
  <dimension ref="A1:W37"/>
  <sheetViews>
    <sheetView zoomScaleNormal="100" workbookViewId="0">
      <selection activeCell="B24" sqref="B24:U37"/>
    </sheetView>
  </sheetViews>
  <sheetFormatPr defaultRowHeight="14.4"/>
  <cols>
    <col min="5" max="5" width="10.88671875" customWidth="1"/>
    <col min="22" max="22" width="13.6640625" customWidth="1"/>
  </cols>
  <sheetData>
    <row r="1" spans="1:23">
      <c r="A1" s="87"/>
      <c r="B1" s="87"/>
      <c r="C1" s="87"/>
      <c r="D1" s="87"/>
      <c r="E1" s="87"/>
      <c r="F1" s="87"/>
      <c r="G1" s="87"/>
      <c r="H1" s="87"/>
      <c r="I1" s="87"/>
      <c r="J1" s="87"/>
      <c r="K1" s="87"/>
      <c r="L1" s="87"/>
      <c r="M1" s="87"/>
      <c r="N1" s="87"/>
      <c r="O1" s="87"/>
      <c r="P1" s="87"/>
      <c r="Q1" s="87"/>
      <c r="R1" s="87"/>
      <c r="S1" s="87"/>
      <c r="T1" s="87"/>
      <c r="U1" s="87"/>
      <c r="V1" s="97" t="s">
        <v>233</v>
      </c>
      <c r="W1" s="98"/>
    </row>
    <row r="2" spans="1:23" ht="15" customHeight="1">
      <c r="A2" s="87"/>
      <c r="B2" s="91" t="s">
        <v>229</v>
      </c>
      <c r="C2" s="91"/>
      <c r="D2" s="91"/>
      <c r="E2" s="91"/>
      <c r="F2" s="91"/>
      <c r="G2" s="91"/>
      <c r="H2" s="91"/>
      <c r="I2" s="91"/>
      <c r="J2" s="91"/>
      <c r="K2" s="91"/>
      <c r="L2" s="91"/>
      <c r="M2" s="91"/>
      <c r="N2" s="91"/>
      <c r="O2" s="91"/>
      <c r="P2" s="91"/>
      <c r="Q2" s="91"/>
      <c r="R2" s="91"/>
      <c r="S2" s="91"/>
      <c r="T2" s="91"/>
      <c r="U2" s="91"/>
      <c r="V2" s="99">
        <f ca="1">TODAY()</f>
        <v>46251</v>
      </c>
      <c r="W2" s="100"/>
    </row>
    <row r="3" spans="1:23" ht="14.4" customHeight="1">
      <c r="A3" s="87"/>
      <c r="B3" s="91"/>
      <c r="C3" s="91"/>
      <c r="D3" s="91"/>
      <c r="E3" s="91"/>
      <c r="F3" s="91"/>
      <c r="G3" s="91"/>
      <c r="H3" s="91"/>
      <c r="I3" s="91"/>
      <c r="J3" s="91"/>
      <c r="K3" s="91"/>
      <c r="L3" s="91"/>
      <c r="M3" s="91"/>
      <c r="N3" s="91"/>
      <c r="O3" s="91"/>
      <c r="P3" s="91"/>
      <c r="Q3" s="91"/>
      <c r="R3" s="91"/>
      <c r="S3" s="91"/>
      <c r="T3" s="91"/>
      <c r="U3" s="91"/>
      <c r="W3" s="101"/>
    </row>
    <row r="4" spans="1:23">
      <c r="A4" s="87"/>
      <c r="B4" s="95"/>
      <c r="C4" s="95"/>
      <c r="D4" s="95"/>
      <c r="E4" s="95"/>
      <c r="F4" s="95"/>
      <c r="G4" s="95"/>
      <c r="H4" s="95"/>
      <c r="I4" s="95"/>
      <c r="J4" s="95"/>
      <c r="K4" s="95"/>
      <c r="L4" s="95"/>
      <c r="M4" s="95"/>
      <c r="N4" s="95"/>
      <c r="O4" s="95"/>
      <c r="P4" s="95"/>
      <c r="Q4" s="95"/>
      <c r="R4" s="95"/>
      <c r="S4" s="95"/>
      <c r="T4" s="95"/>
      <c r="U4" s="95"/>
      <c r="V4" s="101"/>
      <c r="W4" s="101"/>
    </row>
    <row r="5" spans="1:23" s="90" customFormat="1" ht="16.05" customHeight="1">
      <c r="A5" s="87"/>
      <c r="B5" s="94" t="s">
        <v>234</v>
      </c>
      <c r="C5" s="94"/>
      <c r="D5" s="94"/>
      <c r="E5" s="94"/>
      <c r="F5" s="94"/>
      <c r="G5" s="94" t="s">
        <v>230</v>
      </c>
      <c r="H5" s="94"/>
      <c r="I5" s="94"/>
      <c r="J5" s="94"/>
      <c r="K5" s="94"/>
      <c r="L5" s="94" t="s">
        <v>235</v>
      </c>
      <c r="M5" s="94"/>
      <c r="N5" s="94"/>
      <c r="O5" s="94"/>
      <c r="P5" s="94"/>
      <c r="Q5" s="94" t="s">
        <v>231</v>
      </c>
      <c r="R5" s="94"/>
      <c r="S5" s="94"/>
      <c r="T5" s="94"/>
      <c r="U5" s="94"/>
      <c r="V5" s="87"/>
      <c r="W5" s="87"/>
    </row>
    <row r="6" spans="1:23" ht="16.05" customHeight="1">
      <c r="A6" s="87"/>
      <c r="B6" s="94"/>
      <c r="C6" s="94"/>
      <c r="D6" s="94"/>
      <c r="E6" s="94"/>
      <c r="F6" s="94"/>
      <c r="G6" s="94"/>
      <c r="H6" s="94"/>
      <c r="I6" s="94"/>
      <c r="J6" s="94"/>
      <c r="K6" s="94"/>
      <c r="L6" s="94"/>
      <c r="M6" s="94"/>
      <c r="N6" s="94"/>
      <c r="O6" s="94"/>
      <c r="P6" s="94"/>
      <c r="Q6" s="94"/>
      <c r="R6" s="94"/>
      <c r="S6" s="94"/>
      <c r="T6" s="94"/>
      <c r="U6" s="94"/>
      <c r="V6" s="87"/>
      <c r="W6" s="87"/>
    </row>
    <row r="7" spans="1:23" ht="16.05" customHeight="1">
      <c r="A7" s="87"/>
      <c r="B7" s="91">
        <f>COUNTA(Sheet1!C432:C439)</f>
        <v>8</v>
      </c>
      <c r="C7" s="91"/>
      <c r="D7" s="91"/>
      <c r="E7" s="91"/>
      <c r="F7" s="91"/>
      <c r="G7" s="96">
        <f>SUM(Sheet1!G432:G439)</f>
        <v>386000</v>
      </c>
      <c r="H7" s="96"/>
      <c r="I7" s="96"/>
      <c r="J7" s="96"/>
      <c r="K7" s="96"/>
      <c r="L7" s="93">
        <f>AVERAGE(Sheet1!G432:G439)</f>
        <v>48250</v>
      </c>
      <c r="M7" s="93"/>
      <c r="N7" s="93"/>
      <c r="O7" s="93"/>
      <c r="P7" s="93"/>
      <c r="Q7" s="92">
        <f>MAX(Sheet1!G432:G439)</f>
        <v>75000</v>
      </c>
      <c r="R7" s="92"/>
      <c r="S7" s="92"/>
      <c r="T7" s="92"/>
      <c r="U7" s="92"/>
      <c r="V7" s="87"/>
      <c r="W7" s="87"/>
    </row>
    <row r="8" spans="1:23" ht="16.05" customHeight="1">
      <c r="A8" s="87"/>
      <c r="B8" s="91"/>
      <c r="C8" s="91"/>
      <c r="D8" s="91"/>
      <c r="E8" s="91"/>
      <c r="F8" s="91"/>
      <c r="G8" s="96"/>
      <c r="H8" s="96"/>
      <c r="I8" s="96"/>
      <c r="J8" s="96"/>
      <c r="K8" s="96"/>
      <c r="L8" s="93"/>
      <c r="M8" s="93"/>
      <c r="N8" s="93"/>
      <c r="O8" s="93"/>
      <c r="P8" s="93"/>
      <c r="Q8" s="92"/>
      <c r="R8" s="92"/>
      <c r="S8" s="92"/>
      <c r="T8" s="92"/>
      <c r="U8" s="92"/>
      <c r="V8" s="87"/>
      <c r="W8" s="87"/>
    </row>
    <row r="9" spans="1:23">
      <c r="A9" s="87"/>
      <c r="V9" s="87"/>
      <c r="W9" s="87"/>
    </row>
    <row r="10" spans="1:23">
      <c r="A10" s="87"/>
      <c r="V10" s="87"/>
      <c r="W10" s="87"/>
    </row>
    <row r="11" spans="1:23">
      <c r="A11" s="87"/>
      <c r="E11" s="88"/>
      <c r="V11" s="87"/>
      <c r="W11" s="87"/>
    </row>
    <row r="12" spans="1:23">
      <c r="A12" s="87"/>
      <c r="V12" s="87"/>
      <c r="W12" s="87"/>
    </row>
    <row r="13" spans="1:23">
      <c r="A13" s="87"/>
      <c r="V13" s="87"/>
      <c r="W13" s="87"/>
    </row>
    <row r="14" spans="1:23">
      <c r="A14" s="87"/>
      <c r="V14" s="87"/>
      <c r="W14" s="87"/>
    </row>
    <row r="15" spans="1:23">
      <c r="A15" s="87"/>
      <c r="V15" s="87"/>
      <c r="W15" s="87"/>
    </row>
    <row r="16" spans="1:23">
      <c r="A16" s="87"/>
      <c r="V16" s="87"/>
      <c r="W16" s="87"/>
    </row>
    <row r="17" spans="1:23">
      <c r="A17" s="87"/>
      <c r="V17" s="87"/>
      <c r="W17" s="87"/>
    </row>
    <row r="18" spans="1:23">
      <c r="A18" s="87"/>
      <c r="V18" s="87"/>
      <c r="W18" s="87"/>
    </row>
    <row r="19" spans="1:23">
      <c r="A19" s="87"/>
      <c r="V19" s="87"/>
      <c r="W19" s="87"/>
    </row>
    <row r="20" spans="1:23">
      <c r="A20" s="87"/>
      <c r="V20" s="87"/>
      <c r="W20" s="87"/>
    </row>
    <row r="21" spans="1:23">
      <c r="A21" s="87"/>
      <c r="V21" s="87"/>
      <c r="W21" s="87"/>
    </row>
    <row r="22" spans="1:23">
      <c r="A22" s="87"/>
      <c r="V22" s="87"/>
      <c r="W22" s="87"/>
    </row>
    <row r="23" spans="1:23">
      <c r="A23" s="87"/>
      <c r="V23" s="87"/>
      <c r="W23" s="87"/>
    </row>
    <row r="24" spans="1:23">
      <c r="A24" s="87"/>
      <c r="B24" s="87"/>
      <c r="C24" s="87"/>
      <c r="D24" s="87"/>
      <c r="E24" s="87"/>
      <c r="F24" s="87"/>
      <c r="G24" s="87"/>
      <c r="H24" s="87"/>
      <c r="I24" s="87"/>
      <c r="J24" s="87"/>
      <c r="K24" s="87"/>
      <c r="L24" s="87"/>
      <c r="M24" s="87"/>
      <c r="N24" s="87"/>
      <c r="O24" s="87"/>
      <c r="P24" s="87"/>
      <c r="Q24" s="87"/>
      <c r="R24" s="87"/>
      <c r="S24" s="87"/>
      <c r="T24" s="87"/>
      <c r="U24" s="87"/>
      <c r="V24" s="87"/>
      <c r="W24" s="87"/>
    </row>
    <row r="25" spans="1:23">
      <c r="A25" s="87"/>
      <c r="B25" s="87"/>
      <c r="C25" s="87"/>
      <c r="D25" s="87"/>
      <c r="E25" s="87"/>
      <c r="F25" s="87"/>
      <c r="G25" s="87"/>
      <c r="H25" s="87"/>
      <c r="I25" s="87"/>
      <c r="J25" s="87"/>
      <c r="K25" s="87"/>
      <c r="L25" s="87"/>
      <c r="M25" s="87"/>
      <c r="N25" s="87"/>
      <c r="O25" s="87"/>
      <c r="P25" s="87"/>
      <c r="Q25" s="87"/>
      <c r="R25" s="87"/>
      <c r="S25" s="87"/>
      <c r="T25" s="87"/>
      <c r="U25" s="87"/>
      <c r="V25" s="87"/>
      <c r="W25" s="87"/>
    </row>
    <row r="26" spans="1:23">
      <c r="A26" s="87"/>
      <c r="B26" s="87"/>
      <c r="C26" s="87"/>
      <c r="D26" s="87"/>
      <c r="E26" s="87"/>
      <c r="F26" s="87"/>
      <c r="G26" s="87"/>
      <c r="H26" s="87"/>
      <c r="I26" s="87"/>
      <c r="J26" s="87"/>
      <c r="K26" s="87"/>
      <c r="L26" s="87"/>
      <c r="M26" s="87"/>
      <c r="N26" s="87"/>
      <c r="O26" s="87"/>
      <c r="P26" s="87"/>
      <c r="Q26" s="87"/>
      <c r="R26" s="87"/>
      <c r="S26" s="87"/>
      <c r="T26" s="87"/>
      <c r="U26" s="87"/>
      <c r="V26" s="87"/>
      <c r="W26" s="87"/>
    </row>
    <row r="27" spans="1:23">
      <c r="A27" s="87"/>
      <c r="B27" s="87"/>
      <c r="C27" s="87"/>
      <c r="D27" s="87"/>
      <c r="E27" s="87"/>
      <c r="F27" s="87"/>
      <c r="G27" s="87"/>
      <c r="H27" s="87"/>
      <c r="I27" s="87"/>
      <c r="J27" s="87"/>
      <c r="K27" s="87"/>
      <c r="L27" s="87"/>
      <c r="M27" s="87"/>
      <c r="N27" s="87"/>
      <c r="O27" s="87"/>
      <c r="P27" s="87"/>
      <c r="Q27" s="87"/>
      <c r="R27" s="87"/>
      <c r="S27" s="87"/>
      <c r="T27" s="87"/>
      <c r="U27" s="87"/>
      <c r="V27" s="87"/>
      <c r="W27" s="87"/>
    </row>
    <row r="28" spans="1:23">
      <c r="A28" s="87"/>
      <c r="B28" s="87"/>
      <c r="C28" s="87"/>
      <c r="D28" s="87"/>
      <c r="E28" s="87"/>
      <c r="F28" s="87"/>
      <c r="G28" s="87"/>
      <c r="H28" s="87"/>
      <c r="I28" s="87"/>
      <c r="J28" s="87"/>
      <c r="K28" s="87"/>
      <c r="L28" s="87"/>
      <c r="M28" s="87"/>
      <c r="N28" s="87"/>
      <c r="O28" s="87"/>
      <c r="P28" s="87"/>
      <c r="Q28" s="87"/>
      <c r="R28" s="87"/>
      <c r="S28" s="87"/>
      <c r="T28" s="87"/>
      <c r="U28" s="87"/>
      <c r="V28" s="87"/>
      <c r="W28" s="87"/>
    </row>
    <row r="29" spans="1:23">
      <c r="A29" s="87"/>
      <c r="B29" s="87"/>
      <c r="C29" s="87"/>
      <c r="D29" s="87"/>
      <c r="E29" s="87"/>
      <c r="F29" s="87"/>
      <c r="G29" s="87"/>
      <c r="H29" s="87"/>
      <c r="I29" s="87"/>
      <c r="J29" s="87"/>
      <c r="K29" s="87"/>
      <c r="L29" s="87"/>
      <c r="M29" s="87"/>
      <c r="N29" s="87"/>
      <c r="O29" s="87"/>
      <c r="P29" s="87"/>
      <c r="Q29" s="87"/>
      <c r="R29" s="87"/>
      <c r="S29" s="87"/>
      <c r="T29" s="87"/>
      <c r="U29" s="87"/>
      <c r="V29" s="87"/>
      <c r="W29" s="87"/>
    </row>
    <row r="30" spans="1:23">
      <c r="A30" s="87"/>
      <c r="B30" s="87"/>
      <c r="C30" s="87"/>
      <c r="D30" s="87"/>
      <c r="E30" s="87"/>
      <c r="F30" s="87"/>
      <c r="G30" s="87"/>
      <c r="H30" s="87"/>
      <c r="I30" s="87"/>
      <c r="J30" s="87"/>
      <c r="K30" s="87"/>
      <c r="L30" s="87"/>
      <c r="M30" s="87"/>
      <c r="N30" s="87"/>
      <c r="O30" s="87"/>
      <c r="P30" s="87"/>
      <c r="Q30" s="87"/>
      <c r="R30" s="87"/>
      <c r="S30" s="87"/>
      <c r="T30" s="87"/>
      <c r="U30" s="87"/>
      <c r="V30" s="87"/>
      <c r="W30" s="87"/>
    </row>
    <row r="31" spans="1:23">
      <c r="A31" s="87"/>
      <c r="B31" s="87"/>
      <c r="C31" s="87"/>
      <c r="D31" s="87"/>
      <c r="E31" s="87"/>
      <c r="F31" s="87"/>
      <c r="G31" s="87"/>
      <c r="H31" s="87"/>
      <c r="I31" s="87"/>
      <c r="J31" s="87"/>
      <c r="K31" s="87"/>
      <c r="L31" s="87"/>
      <c r="M31" s="87"/>
      <c r="N31" s="87"/>
      <c r="O31" s="87"/>
      <c r="P31" s="87"/>
      <c r="Q31" s="87"/>
      <c r="R31" s="87"/>
      <c r="S31" s="87"/>
      <c r="T31" s="87"/>
      <c r="U31" s="87"/>
      <c r="V31" s="87"/>
      <c r="W31" s="87"/>
    </row>
    <row r="32" spans="1:23">
      <c r="A32" s="87"/>
      <c r="B32" s="87"/>
      <c r="C32" s="87"/>
      <c r="D32" s="87"/>
      <c r="E32" s="87"/>
      <c r="F32" s="87"/>
      <c r="G32" s="87"/>
      <c r="H32" s="87"/>
      <c r="I32" s="87"/>
      <c r="J32" s="87"/>
      <c r="K32" s="87"/>
      <c r="L32" s="87"/>
      <c r="M32" s="87"/>
      <c r="N32" s="87"/>
      <c r="O32" s="87"/>
      <c r="P32" s="87"/>
      <c r="Q32" s="87"/>
      <c r="R32" s="87"/>
      <c r="S32" s="87"/>
      <c r="T32" s="87"/>
      <c r="U32" s="87"/>
      <c r="V32" s="87"/>
      <c r="W32" s="87"/>
    </row>
    <row r="33" spans="1:23">
      <c r="A33" s="87"/>
      <c r="B33" s="87"/>
      <c r="C33" s="87"/>
      <c r="D33" s="87"/>
      <c r="E33" s="87"/>
      <c r="F33" s="87"/>
      <c r="G33" s="87"/>
      <c r="H33" s="87"/>
      <c r="I33" s="87"/>
      <c r="J33" s="87"/>
      <c r="K33" s="87"/>
      <c r="L33" s="87"/>
      <c r="M33" s="87"/>
      <c r="N33" s="87"/>
      <c r="O33" s="87"/>
      <c r="P33" s="87"/>
      <c r="Q33" s="87"/>
      <c r="R33" s="87"/>
      <c r="S33" s="87"/>
      <c r="T33" s="87"/>
      <c r="U33" s="87"/>
      <c r="V33" s="87"/>
      <c r="W33" s="87"/>
    </row>
    <row r="34" spans="1:23">
      <c r="A34" s="87"/>
      <c r="B34" s="87"/>
      <c r="C34" s="87"/>
      <c r="D34" s="87"/>
      <c r="E34" s="87"/>
      <c r="F34" s="87"/>
      <c r="G34" s="87"/>
      <c r="H34" s="87"/>
      <c r="I34" s="87"/>
      <c r="J34" s="87"/>
      <c r="K34" s="87"/>
      <c r="L34" s="87"/>
      <c r="M34" s="87"/>
      <c r="N34" s="87"/>
      <c r="O34" s="87"/>
      <c r="P34" s="87"/>
      <c r="Q34" s="87"/>
      <c r="R34" s="87"/>
      <c r="S34" s="87"/>
      <c r="T34" s="87"/>
      <c r="U34" s="87"/>
      <c r="V34" s="87"/>
      <c r="W34" s="87"/>
    </row>
    <row r="35" spans="1:23">
      <c r="A35" s="87"/>
      <c r="B35" s="87"/>
      <c r="C35" s="87"/>
      <c r="D35" s="87"/>
      <c r="E35" s="87"/>
      <c r="F35" s="87"/>
      <c r="G35" s="87"/>
      <c r="H35" s="87"/>
      <c r="I35" s="87"/>
      <c r="J35" s="87"/>
      <c r="K35" s="87"/>
      <c r="L35" s="87"/>
      <c r="M35" s="87"/>
      <c r="N35" s="87"/>
      <c r="O35" s="87"/>
      <c r="P35" s="87"/>
      <c r="Q35" s="87"/>
      <c r="R35" s="87"/>
      <c r="S35" s="87"/>
      <c r="T35" s="87"/>
      <c r="U35" s="87"/>
      <c r="V35" s="87"/>
      <c r="W35" s="87"/>
    </row>
    <row r="36" spans="1:23">
      <c r="A36" s="87"/>
      <c r="B36" s="87"/>
      <c r="C36" s="87"/>
      <c r="D36" s="87"/>
      <c r="E36" s="87"/>
      <c r="F36" s="87"/>
      <c r="G36" s="87"/>
      <c r="H36" s="87"/>
      <c r="I36" s="87"/>
      <c r="J36" s="87"/>
      <c r="K36" s="87"/>
      <c r="L36" s="87"/>
      <c r="M36" s="87"/>
      <c r="N36" s="87"/>
      <c r="O36" s="87"/>
      <c r="P36" s="87"/>
      <c r="Q36" s="87"/>
      <c r="R36" s="87"/>
      <c r="S36" s="87"/>
      <c r="T36" s="87"/>
      <c r="U36" s="87"/>
      <c r="V36" s="87"/>
      <c r="W36" s="87"/>
    </row>
    <row r="37" spans="1:23">
      <c r="A37" s="87"/>
      <c r="B37" s="87"/>
      <c r="C37" s="87"/>
      <c r="D37" s="87"/>
      <c r="E37" s="87"/>
      <c r="F37" s="87"/>
      <c r="G37" s="87"/>
      <c r="H37" s="87"/>
      <c r="I37" s="87"/>
      <c r="J37" s="87"/>
      <c r="K37" s="87"/>
      <c r="L37" s="87"/>
      <c r="M37" s="87"/>
      <c r="N37" s="87"/>
      <c r="O37" s="87"/>
      <c r="P37" s="87"/>
      <c r="Q37" s="87"/>
      <c r="R37" s="87"/>
      <c r="S37" s="87"/>
      <c r="T37" s="87"/>
      <c r="U37" s="87"/>
      <c r="V37" s="87"/>
      <c r="W37" s="87"/>
    </row>
  </sheetData>
  <mergeCells count="14">
    <mergeCell ref="B24:U37"/>
    <mergeCell ref="B5:F6"/>
    <mergeCell ref="B7:F8"/>
    <mergeCell ref="A2:A37"/>
    <mergeCell ref="B4:U4"/>
    <mergeCell ref="A1:U1"/>
    <mergeCell ref="V5:W37"/>
    <mergeCell ref="Q5:U6"/>
    <mergeCell ref="Q7:U8"/>
    <mergeCell ref="L5:P6"/>
    <mergeCell ref="L7:P8"/>
    <mergeCell ref="G5:K6"/>
    <mergeCell ref="G7:K8"/>
    <mergeCell ref="B2:U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sales Dashboard</vt:lpstr>
      <vt:lpstr>template</vt:lpstr>
      <vt:lpstr>MIS_Day1.xlsx</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bholapanshi3@gmail.com</dc:creator>
  <cp:lastModifiedBy>bholapanshi3@gmail.com</cp:lastModifiedBy>
  <dcterms:created xsi:type="dcterms:W3CDTF">2026-06-17T12:33:44Z</dcterms:created>
  <dcterms:modified xsi:type="dcterms:W3CDTF">2026-08-17T10:16:38Z</dcterms:modified>
</cp:coreProperties>
</file>